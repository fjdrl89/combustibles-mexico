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Balance" sheetId="4" state="visible" r:id="rId4"/>
    <sheet xmlns:r="http://schemas.openxmlformats.org/officeDocument/2006/relationships" name="Etapas del mercado" sheetId="5" state="visible" r:id="rId5"/>
    <sheet xmlns:r="http://schemas.openxmlformats.org/officeDocument/2006/relationships" name="Regional" sheetId="6" state="visible" r:id="rId6"/>
    <sheet xmlns:r="http://schemas.openxmlformats.org/officeDocument/2006/relationships" name="Desestacionalizado" sheetId="7" state="visible" r:id="rId7"/>
    <sheet xmlns:r="http://schemas.openxmlformats.org/officeDocument/2006/relationships" name="Pronóstico" sheetId="8" state="visible" r:id="rId8"/>
    <sheet xmlns:r="http://schemas.openxmlformats.org/officeDocument/2006/relationships" name="Validación 20-F" sheetId="9" state="visible" r:id="rId9"/>
    <sheet xmlns:r="http://schemas.openxmlformats.org/officeDocument/2006/relationships" name="Contraste" sheetId="10" state="visible" r:id="rId10"/>
    <sheet xmlns:r="http://schemas.openxmlformats.org/officeDocument/2006/relationships" name="IEPS dos periodos" sheetId="11" state="visible" r:id="rId11"/>
    <sheet xmlns:r="http://schemas.openxmlformats.org/officeDocument/2006/relationships" name="Recaudación calculada" sheetId="12" state="visible" r:id="rId12"/>
    <sheet xmlns:r="http://schemas.openxmlformats.org/officeDocument/2006/relationships" name="Mediciones por combustible" sheetId="13" state="visible" r:id="rId13"/>
    <sheet xmlns:r="http://schemas.openxmlformats.org/officeDocument/2006/relationships" name="Balance por combustible" sheetId="14" state="visible" r:id="rId14"/>
    <sheet xmlns:r="http://schemas.openxmlformats.org/officeDocument/2006/relationships" name="Sobrante por combustible" sheetId="15" state="visible" r:id="rId15"/>
    <sheet xmlns:r="http://schemas.openxmlformats.org/officeDocument/2006/relationships" name="IEPS por producto" sheetId="16" state="visible" r:id="rId16"/>
    <sheet xmlns:r="http://schemas.openxmlformats.org/officeDocument/2006/relationships" name="Recaudación observada" sheetId="17" state="visible" r:id="rId17"/>
    <sheet xmlns:r="http://schemas.openxmlformats.org/officeDocument/2006/relationships" name="Impuesto al carbono" sheetId="18" state="visible" r:id="rId18"/>
    <sheet xmlns:r="http://schemas.openxmlformats.org/officeDocument/2006/relationships" name="Actividad económica" sheetId="19" state="visible" r:id="rId19"/>
    <sheet xmlns:r="http://schemas.openxmlformats.org/officeDocument/2006/relationships" name="Cobertura de fuen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 h:mm:ss"/>
    <numFmt numFmtId="165" formatCode="mmm-yyyy"/>
    <numFmt numFmtId="166" formatCode="0.000"/>
    <numFmt numFmtId="167" formatCode="0.0%"/>
    <numFmt numFmtId="168" formatCode="#,##0.0"/>
    <numFmt numFmtId="169" formatCode="+#,##0.0;-#,##0.0"/>
    <numFmt numFmtId="170" formatCode="#,##0.000"/>
    <numFmt numFmtId="171" formatCode="+#,##0.000;-#,##0.000"/>
    <numFmt numFmtId="172" formatCode="+0.0%;-0.0%"/>
    <numFmt numFmtId="173" formatCode="+#,##0.00;-#,##0.00"/>
    <numFmt numFmtId="174" formatCode="+0.0%"/>
    <numFmt numFmtId="175" formatCode="+#,##0.00"/>
  </numFmts>
  <fonts count="12">
    <font>
      <name val="Calibri"/>
      <family val="2"/>
      <color theme="1"/>
      <sz val="11"/>
      <scheme val="minor"/>
    </font>
    <font>
      <name val="Arial"/>
      <b val="1"/>
      <color rgb="000B0B0B"/>
      <sz val="13"/>
    </font>
    <font>
      <name val="Arial"/>
      <color rgb="0052514E"/>
      <sz val="9"/>
    </font>
    <font>
      <name val="Arial"/>
      <color rgb="000B0B0B"/>
      <sz val="10"/>
    </font>
    <font>
      <name val="Arial"/>
      <color rgb="0052514E"/>
      <sz val="10"/>
    </font>
    <font>
      <name val="Arial"/>
      <b val="1"/>
      <color rgb="000B0B0B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B0B0B"/>
      <sz val="11"/>
    </font>
    <font>
      <name val="Arial"/>
      <b val="1"/>
      <sz val="11"/>
    </font>
    <font>
      <name val="Arial"/>
      <b val="1"/>
      <color rgb="00A97400"/>
      <sz val="10"/>
    </font>
    <font>
      <name val="Arial"/>
      <b val="1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8D7D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 wrapText="1"/>
    </xf>
    <xf numFmtId="165" fontId="7" fillId="3" borderId="1" pivotButton="0" quotePrefix="0" xfId="0"/>
    <xf numFmtId="4" fontId="7" fillId="3" borderId="1" pivotButton="0" quotePrefix="0" xfId="0"/>
    <xf numFmtId="165" fontId="7" fillId="0" borderId="1" pivotButton="0" quotePrefix="0" xfId="0"/>
    <xf numFmtId="4" fontId="7" fillId="0" borderId="1" pivotButton="0" quotePrefix="0" xfId="0"/>
    <xf numFmtId="0" fontId="8" fillId="0" borderId="0" pivotButton="0" quotePrefix="0" xfId="0"/>
    <xf numFmtId="0" fontId="7" fillId="0" borderId="1" pivotButton="0" quotePrefix="0" xfId="0"/>
    <xf numFmtId="166" fontId="7" fillId="0" borderId="1" pivotButton="0" quotePrefix="0" xfId="0"/>
    <xf numFmtId="167" fontId="7" fillId="0" borderId="1" pivotButton="0" quotePrefix="0" xfId="0"/>
    <xf numFmtId="0" fontId="7" fillId="3" borderId="1" pivotButton="0" quotePrefix="0" xfId="0"/>
    <xf numFmtId="0" fontId="9" fillId="0" borderId="0" pivotButton="0" quotePrefix="0" xfId="0"/>
    <xf numFmtId="168" fontId="7" fillId="0" borderId="1" pivotButton="0" quotePrefix="0" xfId="0"/>
    <xf numFmtId="169" fontId="7" fillId="0" borderId="1" pivotButton="0" quotePrefix="0" xfId="0"/>
    <xf numFmtId="10" fontId="7" fillId="0" borderId="1" pivotButton="0" quotePrefix="0" xfId="0"/>
    <xf numFmtId="0" fontId="10" fillId="0" borderId="0" pivotButton="0" quotePrefix="0" xfId="0"/>
    <xf numFmtId="170" fontId="7" fillId="0" borderId="1" pivotButton="0" quotePrefix="0" xfId="0"/>
    <xf numFmtId="171" fontId="7" fillId="0" borderId="1" pivotButton="0" quotePrefix="0" xfId="0"/>
    <xf numFmtId="172" fontId="7" fillId="0" borderId="1" pivotButton="0" quotePrefix="0" xfId="0"/>
    <xf numFmtId="173" fontId="7" fillId="0" borderId="1" pivotButton="0" quotePrefix="0" xfId="0"/>
    <xf numFmtId="174" fontId="7" fillId="0" borderId="1" pivotButton="0" quotePrefix="0" xfId="0"/>
    <xf numFmtId="175" fontId="7" fillId="0" borderId="1" pivotButton="0" quotePrefix="0" xfId="0"/>
    <xf numFmtId="3" fontId="7" fillId="0" borderId="1" pivotButton="0" quotePrefix="0" xfId="0"/>
    <xf numFmtId="168" fontId="7" fillId="3" borderId="1" pivotButton="0" quotePrefix="0" xfId="0"/>
    <xf numFmtId="168" fontId="0" fillId="0" borderId="0" pivotButton="0" quotePrefix="0" xfId="0"/>
    <xf numFmtId="4" fontId="0" fillId="0" borderId="0" pivotButton="0" quotePrefix="0" xfId="0"/>
    <xf numFmtId="17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86" customWidth="1" min="2" max="2"/>
    <col width="22" customWidth="1" min="4" max="4"/>
  </cols>
  <sheetData>
    <row r="1">
      <c r="A1" s="1" t="inlineStr">
        <is>
          <t>Ventas de combustibles en México: análisis independiente</t>
        </is>
      </c>
    </row>
    <row r="2">
      <c r="A2" s="2" t="inlineStr">
        <is>
          <t>Banco de México · elaborado 21-ago-2026 · pipeline reconstruido desde fuentes primarias</t>
        </is>
      </c>
    </row>
    <row r="4">
      <c r="A4" s="3" t="inlineStr"/>
      <c r="B4" s="4" t="inlineStr"/>
      <c r="D4" s="4" t="inlineStr"/>
    </row>
    <row r="5">
      <c r="A5" s="5" t="inlineStr">
        <is>
          <t>QUÉ ES ESTE LIBRO</t>
        </is>
      </c>
      <c r="B5" s="4" t="inlineStr"/>
      <c r="D5" s="4" t="inlineStr"/>
    </row>
    <row r="6">
      <c r="A6" s="3" t="inlineStr"/>
      <c r="B6" s="4" t="inlineStr">
        <is>
          <t>Reconstrucción independiente de las series de venta de combustibles y su diagnóstico.</t>
        </is>
      </c>
      <c r="D6" s="4" t="inlineStr"/>
    </row>
    <row r="7">
      <c r="A7" s="3" t="inlineStr"/>
      <c r="B7" s="4" t="inlineStr">
        <is>
          <t>No reutiliza series derivadas del modelo IEPS: se construye desde archivos primarios</t>
        </is>
      </c>
      <c r="D7" s="4" t="inlineStr"/>
    </row>
    <row r="8">
      <c r="A8" s="3" t="inlineStr"/>
      <c r="B8" s="4" t="inlineStr">
        <is>
          <t>para poder servir de CONTRASTE. La hoja «Contraste» compara ambos.</t>
        </is>
      </c>
      <c r="D8" s="4" t="inlineStr"/>
    </row>
    <row r="9">
      <c r="A9" s="3" t="inlineStr"/>
      <c r="B9" s="4" t="inlineStr"/>
      <c r="D9" s="4" t="inlineStr"/>
    </row>
    <row r="10">
      <c r="A10" s="5" t="inlineStr">
        <is>
          <t>FUENTES PRIMARIAS</t>
        </is>
      </c>
      <c r="B10" s="4" t="inlineStr"/>
      <c r="D10" s="4" t="inlineStr"/>
    </row>
    <row r="11">
      <c r="A11" s="5" t="inlineStr">
        <is>
          <t>F1</t>
        </is>
      </c>
      <c r="B11" s="4" t="inlineStr">
        <is>
          <t>CNE: Ventas de expendio al público (pl_exp_vol)</t>
        </is>
      </c>
      <c r="D11" s="4" t="inlineStr">
        <is>
          <t>ene-2016 a jul-2026</t>
        </is>
      </c>
    </row>
    <row r="12">
      <c r="A12" s="5" t="inlineStr">
        <is>
          <t>F2</t>
        </is>
      </c>
      <c r="B12" s="4" t="inlineStr">
        <is>
          <t>CNE: Precios promedio diarios y mensuales en estaciones</t>
        </is>
      </c>
      <c r="D12" s="4" t="inlineStr">
        <is>
          <t>ene-2017 a jul-2026</t>
        </is>
      </c>
    </row>
    <row r="13">
      <c r="A13" s="5" t="inlineStr">
        <is>
          <t>F3</t>
        </is>
      </c>
      <c r="B13" s="4" t="inlineStr">
        <is>
          <t>SIE/SENER: Volumen de ventas de petrolíferos (Pemex)</t>
        </is>
      </c>
      <c r="D13" s="4" t="inlineStr">
        <is>
          <t>ene-2017 a jun-2026</t>
        </is>
      </c>
    </row>
    <row r="14">
      <c r="A14" s="5" t="inlineStr">
        <is>
          <t>F4</t>
        </is>
      </c>
      <c r="B14" s="4" t="inlineStr">
        <is>
          <t>SIE/SENER: Volumen total de importación de petrolíferos</t>
        </is>
      </c>
      <c r="D14" s="4" t="inlineStr">
        <is>
          <t>ene-2017 a jun-2026</t>
        </is>
      </c>
    </row>
    <row r="15">
      <c r="A15" s="5" t="inlineStr">
        <is>
          <t>F5</t>
        </is>
      </c>
      <c r="B15" s="4" t="inlineStr">
        <is>
          <t>Banxico: INPC mensual (deflactor)</t>
        </is>
      </c>
      <c r="D15" s="4" t="inlineStr">
        <is>
          <t>ene-2017 a jun-2026</t>
        </is>
      </c>
    </row>
    <row r="16">
      <c r="A16" s="3" t="inlineStr"/>
      <c r="B16" s="4" t="inlineStr"/>
      <c r="D16" s="4" t="inlineStr"/>
    </row>
    <row r="17">
      <c r="A17" s="5" t="inlineStr">
        <is>
          <t>UNIDAD</t>
        </is>
      </c>
      <c r="B17" s="4" t="inlineStr">
        <is>
          <t>Millones de litros por DÍA (mld). Normalizar por días del mes elimina el efecto</t>
        </is>
      </c>
      <c r="D17" s="4" t="inlineStr"/>
    </row>
    <row r="18">
      <c r="A18" s="3" t="inlineStr"/>
      <c r="B18" s="4" t="inlineStr">
        <is>
          <t>calendario de longitud de mes, que vale hasta ±3.5% en series mensuales.</t>
        </is>
      </c>
      <c r="D18" s="4" t="inlineStr"/>
    </row>
    <row r="19">
      <c r="A19" s="3" t="inlineStr"/>
      <c r="B19" s="4" t="inlineStr">
        <is>
          <t>Conversión SIE: mbd × 158.9873 L/barril ÷ 1000 = mld.</t>
        </is>
      </c>
      <c r="D19" s="4" t="inlineStr"/>
    </row>
    <row r="20">
      <c r="A20" s="3" t="inlineStr"/>
      <c r="B20" s="4" t="inlineStr"/>
      <c r="D20" s="4" t="inlineStr"/>
    </row>
    <row r="21">
      <c r="A21" s="5" t="inlineStr">
        <is>
          <t>DEFINICIONES</t>
        </is>
      </c>
      <c r="B21" s="4" t="inlineStr"/>
      <c r="D21" s="4" t="inlineStr"/>
    </row>
    <row r="22">
      <c r="A22" s="3" t="inlineStr">
        <is>
          <t>Venta en la bomba</t>
        </is>
      </c>
      <c r="B22" s="4" t="inlineStr">
        <is>
          <t>Venta final en estaciones de servicio. Mide DEMANDA en la bomba.</t>
        </is>
      </c>
      <c r="D22" s="4" t="inlineStr"/>
    </row>
    <row r="23">
      <c r="A23" s="3" t="inlineStr">
        <is>
          <t>Oferta SIE</t>
        </is>
      </c>
      <c r="B23" s="4" t="inlineStr">
        <is>
          <t>Ventas internas de Pemex + importación de particulares. Mide OFERTA registrada.</t>
        </is>
      </c>
      <c r="D23" s="4" t="inlineStr"/>
    </row>
    <row r="24">
      <c r="A24" s="3" t="inlineStr">
        <is>
          <t>Ratio</t>
        </is>
      </c>
      <c r="B24" s="4" t="inlineStr">
        <is>
          <t>Suministro registrado entre venta en la bomba. Proxy de trazabilidad del origen del combustible.</t>
        </is>
      </c>
      <c r="D24" s="4" t="inlineStr"/>
    </row>
    <row r="25">
      <c r="A25" s="3" t="inlineStr">
        <is>
          <t>Diésel</t>
        </is>
      </c>
      <c r="B25" s="4" t="inlineStr">
        <is>
          <t>Automotriz + DUBA + agrícola/marino (definición verificada contra el modelo).</t>
        </is>
      </c>
      <c r="D25" s="4" t="inlineStr"/>
    </row>
    <row r="26">
      <c r="A26" s="3" t="inlineStr"/>
      <c r="B26" s="4" t="inlineStr"/>
      <c r="D26" s="4" t="inlineStr"/>
    </row>
    <row r="27">
      <c r="A27" s="5" t="inlineStr">
        <is>
          <t>ADVERTENCIAS</t>
        </is>
      </c>
      <c r="B27" s="4" t="inlineStr"/>
      <c r="D27" s="4" t="inlineStr"/>
    </row>
    <row r="28">
      <c r="A28" s="5" t="inlineStr">
        <is>
          <t>A1</t>
        </is>
      </c>
      <c r="B28" s="4" t="inlineStr">
        <is>
          <t>jul-2026 de la venta en la bomba cayó -4.8% m/m; puede ser dato preliminar sujeto a revisión.</t>
        </is>
      </c>
      <c r="D28" s="4" t="inlineStr"/>
    </row>
    <row r="29">
      <c r="A29" s="5" t="inlineStr">
        <is>
          <t>A2</t>
        </is>
      </c>
      <c r="B29" s="4" t="inlineStr">
        <is>
          <t>El ratio de trazabilidad NO mide directamente informalidad: también recoge usos no</t>
        </is>
      </c>
      <c r="D29" s="4" t="inlineStr"/>
    </row>
    <row r="30">
      <c r="A30" s="3" t="inlineStr"/>
      <c r="B30" s="4" t="inlineStr">
        <is>
          <t>minoristas (flotillas, autoconsumo, agrícola) y diferencias de momento de registro.</t>
        </is>
      </c>
      <c r="D30" s="4" t="inlineStr"/>
    </row>
    <row r="31">
      <c r="A31" s="5" t="inlineStr">
        <is>
          <t>A3</t>
        </is>
      </c>
      <c r="B31" s="4" t="inlineStr">
        <is>
          <t>No hay variable de actividad (IGAE) incorporada; las elasticidades son de corto plazo.</t>
        </is>
      </c>
      <c r="D31" s="4" t="inlineStr"/>
    </row>
    <row r="33">
      <c r="A33" s="3" t="inlineStr"/>
      <c r="B33" s="4" t="inlineStr"/>
      <c r="D33" s="4" t="inlineStr"/>
    </row>
    <row r="34">
      <c r="A34" s="5" t="inlineStr">
        <is>
          <t>FUENTES AÑADIDAS</t>
        </is>
      </c>
      <c r="B34" s="4" t="inlineStr"/>
      <c r="D34" s="4" t="inlineStr"/>
    </row>
    <row r="35">
      <c r="A35" s="5" t="inlineStr">
        <is>
          <t>F6</t>
        </is>
      </c>
      <c r="B35" s="4" t="inlineStr">
        <is>
          <t>Pemex: Ventas internas de productos elaborados en el SNR (DAVOVIPR)</t>
        </is>
      </c>
      <c r="D35" s="4" t="inlineStr">
        <is>
          <t>ene-2017 a jul-2026</t>
        </is>
      </c>
    </row>
    <row r="36">
      <c r="A36" s="5" t="inlineStr">
        <is>
          <t>F7</t>
        </is>
      </c>
      <c r="B36" s="4" t="inlineStr">
        <is>
          <t>Pemex: Elaboración de productos petrolíferos (INDI04)</t>
        </is>
      </c>
      <c r="D36" s="4" t="inlineStr">
        <is>
          <t>ene-2017 a jul-2026</t>
        </is>
      </c>
    </row>
    <row r="37">
      <c r="A37" s="5" t="inlineStr">
        <is>
          <t>F8</t>
        </is>
      </c>
      <c r="B37" s="4" t="inlineStr">
        <is>
          <t>Pemex: Exportaciones de petrolíferos (INDI11)</t>
        </is>
      </c>
      <c r="D37" s="4" t="inlineStr">
        <is>
          <t>ene-2017 a jul-2026</t>
        </is>
      </c>
    </row>
    <row r="38">
      <c r="A38" s="5" t="inlineStr">
        <is>
          <t>F9</t>
        </is>
      </c>
      <c r="B38" s="4" t="inlineStr">
        <is>
          <t>Pemex: Formulario 20-F 2025 (cifras auditadas de contraste)</t>
        </is>
      </c>
      <c r="D38" s="4" t="inlineStr">
        <is>
          <t>ejercicio 2025</t>
        </is>
      </c>
    </row>
    <row r="39">
      <c r="A39" s="3" t="inlineStr"/>
      <c r="B39" s="4" t="inlineStr"/>
      <c r="D39" s="4" t="inlineStr"/>
    </row>
    <row r="40">
      <c r="A40" s="5" t="inlineStr">
        <is>
          <t>INDEPENDENCIA</t>
        </is>
      </c>
      <c r="B40" s="4" t="inlineStr"/>
      <c r="D40" s="4" t="inlineStr"/>
    </row>
    <row r="41">
      <c r="A41" s="3" t="inlineStr"/>
      <c r="B41" s="4" t="inlineStr">
        <is>
          <t>Las hojas Datos, Diagnóstico, Balance, Mediciones, Regímenes, Regional, Desestacionalizado,</t>
        </is>
      </c>
      <c r="D41" s="4" t="inlineStr"/>
    </row>
    <row r="42">
      <c r="A42" s="3" t="inlineStr"/>
      <c r="B42" s="4" t="inlineStr">
        <is>
          <t>Pronóstico y Validación 20-F NO usan ninguna construcción del modelo IEPS.</t>
        </is>
      </c>
      <c r="D42" s="4" t="inlineStr"/>
    </row>
    <row r="43">
      <c r="A43" s="3" t="inlineStr"/>
      <c r="B43" s="4" t="inlineStr">
        <is>
          <t>El INPC y el tipo de cambio provienen de hojas del libro IEPS pero son descargas crudas</t>
        </is>
      </c>
      <c r="D43" s="4" t="inlineStr"/>
    </row>
    <row r="44">
      <c r="A44" s="3" t="inlineStr"/>
      <c r="B44" s="4" t="inlineStr">
        <is>
          <t>de Banxico sin transformar.</t>
        </is>
      </c>
      <c r="D44" s="4" t="inlineStr"/>
    </row>
    <row r="45">
      <c r="A45" s="3" t="inlineStr"/>
      <c r="B45" s="4" t="inlineStr">
        <is>
          <t>LA HOJA «Recaudación» SÍ DEPENDE del modelo: usa la cuota efectiva construida en la hoja</t>
        </is>
      </c>
      <c r="D45" s="4" t="inlineStr"/>
    </row>
    <row r="46">
      <c r="A46" s="3" t="inlineStr"/>
      <c r="B46" s="4" t="inlineStr">
        <is>
          <t>Cuotas (estatutaria menos estímulo). Hereda cualquier sesgo de esa construcción.</t>
        </is>
      </c>
      <c r="D46" s="4" t="inlineStr"/>
    </row>
    <row r="48">
      <c r="A48" s="3" t="inlineStr"/>
      <c r="B48" s="4" t="inlineStr"/>
      <c r="D48" s="4" t="inlineStr"/>
    </row>
    <row r="49">
      <c r="A49" s="5" t="inlineStr">
        <is>
          <t>CONVENCIONES DE MEDICIÓN</t>
        </is>
      </c>
      <c r="B49" s="4" t="inlineStr"/>
      <c r="D49" s="4" t="inlineStr"/>
    </row>
    <row r="50">
      <c r="A50" s="3" t="inlineStr"/>
      <c r="B50" s="4" t="inlineStr">
        <is>
          <t>Los promedios anuales sólo incluyen los meses en que la fuente tiene dato, y cada cuadro</t>
        </is>
      </c>
      <c r="D50" s="4" t="inlineStr"/>
    </row>
    <row r="51">
      <c r="A51" s="3" t="inlineStr"/>
      <c r="B51" s="4" t="inlineStr">
        <is>
          <t>indica cuántos meses fueron y cuáles. Las variaciones se calculan sobre los meses que</t>
        </is>
      </c>
      <c r="D51" s="4" t="inlineStr"/>
    </row>
    <row r="52">
      <c r="A52" s="3" t="inlineStr"/>
      <c r="B52" s="4" t="inlineStr">
        <is>
          <t>ambos años comparten, para no mezclar estacionalidad con crecimiento.</t>
        </is>
      </c>
      <c r="D52" s="4" t="inlineStr"/>
    </row>
    <row r="53">
      <c r="A53" s="3" t="inlineStr"/>
      <c r="B53" s="4" t="inlineStr">
        <is>
          <t>Cobertura común significa exigir que las cuatro mediciones tengan dato en el mismo mes.</t>
        </is>
      </c>
      <c r="D53" s="4" t="inlineStr"/>
    </row>
    <row r="54">
      <c r="A54" s="3" t="inlineStr"/>
      <c r="B54" s="4" t="inlineStr"/>
      <c r="D54" s="4" t="inlineStr"/>
    </row>
    <row r="55">
      <c r="A55" s="5" t="inlineStr">
        <is>
          <t>SUPUESTOS PARA CERRAR JULIO DE 2026</t>
        </is>
      </c>
      <c r="B55" s="4" t="inlineStr"/>
      <c r="D55" s="4" t="inlineStr"/>
    </row>
    <row r="56">
      <c r="A56" s="3" t="inlineStr"/>
      <c r="B56" s="4" t="inlineStr">
        <is>
          <t>Las fuentes no terminan el mismo mes: la importación de particulares llega a mayo, las</t>
        </is>
      </c>
      <c r="D56" s="4" t="inlineStr"/>
    </row>
    <row r="57">
      <c r="A57" s="3" t="inlineStr"/>
      <c r="B57" s="4" t="inlineStr">
        <is>
          <t>series de Pemex a junio y la venta en la bomba a julio. Para cerrar el tramo de enero a</t>
        </is>
      </c>
      <c r="D57" s="4" t="inlineStr"/>
    </row>
    <row r="58">
      <c r="A58" s="3" t="inlineStr"/>
      <c r="B58" s="4" t="inlineStr">
        <is>
          <t>julio, los meses faltantes se completan manteniendo constante el último dato disponible.</t>
        </is>
      </c>
      <c r="D58" s="4" t="inlineStr"/>
    </row>
    <row r="59">
      <c r="A59" s="3" t="inlineStr"/>
      <c r="B59" s="4" t="inlineStr">
        <is>
          <t>La columna «De ellos estimados» cuenta cuántos meses de cada promedio quedaron así.</t>
        </is>
      </c>
      <c r="D59" s="4" t="inlineStr"/>
    </row>
    <row r="60">
      <c r="A60" s="3" t="inlineStr"/>
      <c r="B60" s="4" t="inlineStr">
        <is>
          <t>La hoja «Cobertura de fuentes» tiene el detalle por serie.</t>
        </is>
      </c>
      <c r="D60" s="4" t="inlineStr"/>
    </row>
    <row r="61">
      <c r="A61" s="3" t="inlineStr"/>
      <c r="B61" s="4" t="inlineStr"/>
      <c r="D61" s="4" t="inlineStr"/>
    </row>
    <row r="62">
      <c r="A62" s="5" t="inlineStr">
        <is>
          <t>LAS CUATRO MEDICIONES</t>
        </is>
      </c>
      <c r="B62" s="4" t="inlineStr"/>
      <c r="D62" s="4" t="inlineStr"/>
    </row>
    <row r="63">
      <c r="A63" s="5" t="inlineStr">
        <is>
          <t>M1</t>
        </is>
      </c>
      <c r="B63" s="4" t="inlineStr">
        <is>
          <t>Suministro total: producción + importación de Pemex + importación de particulares − exportación</t>
        </is>
      </c>
      <c r="D63" s="4" t="inlineStr"/>
    </row>
    <row r="64">
      <c r="A64" s="5" t="inlineStr">
        <is>
          <t>M2</t>
        </is>
      </c>
      <c r="B64" s="4" t="inlineStr">
        <is>
          <t>Suministro registrado: ventas internas de Pemex + importación de particulares</t>
        </is>
      </c>
      <c r="D64" s="4" t="inlineStr"/>
    </row>
    <row r="65">
      <c r="A65" s="5" t="inlineStr">
        <is>
          <t>M3</t>
        </is>
      </c>
      <c r="B65" s="4" t="inlineStr">
        <is>
          <t>Consumo documentado: venta en la bomba + compras de estaciones de autoconsumo</t>
        </is>
      </c>
      <c r="D65" s="4" t="inlineStr"/>
    </row>
    <row r="66">
      <c r="A66" s="5" t="inlineStr">
        <is>
          <t>M4</t>
        </is>
      </c>
      <c r="B66" s="4" t="inlineStr">
        <is>
          <t>Venta en la bomba: venta al público reportada a la Comisión Nacional de Energía</t>
        </is>
      </c>
      <c r="D66" s="4" t="inlineStr"/>
    </row>
    <row r="67">
      <c r="A67" s="3" t="inlineStr"/>
      <c r="B67" s="4" t="inlineStr">
        <is>
          <t>Las restas: M1−M2 fuera del canal comercial · M2−M3 sin comprador final identificado</t>
        </is>
      </c>
      <c r="D67" s="4" t="inlineStr"/>
    </row>
    <row r="68">
      <c r="A68" s="3" t="inlineStr"/>
      <c r="B68" s="4" t="inlineStr">
        <is>
          <t>M3−M4 consumo propio de flotillas · M1−M4 brecha total de la cadena</t>
        </is>
      </c>
      <c r="D68" s="4" t="inlineStr"/>
    </row>
    <row r="69">
      <c r="A69" s="3" t="inlineStr"/>
      <c r="B69" s="4" t="inlineStr"/>
      <c r="D69" s="4" t="inlineStr"/>
    </row>
    <row r="70">
      <c r="A70" s="5" t="inlineStr">
        <is>
          <t>UNIDADES</t>
        </is>
      </c>
      <c r="B70" s="4" t="inlineStr"/>
      <c r="D70" s="4" t="inlineStr"/>
    </row>
    <row r="71">
      <c r="A71" s="3" t="inlineStr">
        <is>
          <t>m.b.d.</t>
        </is>
      </c>
      <c r="B71" s="4" t="inlineStr">
        <is>
          <t>Miles de barriles diarios. Es la unidad de las hojas de mediciones, balance y sobrante.</t>
        </is>
      </c>
      <c r="D71" s="4" t="inlineStr"/>
    </row>
    <row r="72">
      <c r="A72" s="3" t="inlineStr">
        <is>
          <t>m.l.</t>
        </is>
      </c>
      <c r="B72" s="4" t="inlineStr">
        <is>
          <t>Millones de litros al mes. Un barril son 158.987294928 litros.</t>
        </is>
      </c>
      <c r="D72" s="4" t="inlineStr"/>
    </row>
    <row r="73">
      <c r="A73" s="3" t="inlineStr"/>
      <c r="B73" s="4" t="inlineStr"/>
      <c r="D73" s="4" t="inlineStr"/>
    </row>
    <row r="74">
      <c r="A74" s="5" t="inlineStr">
        <is>
          <t>COMBUSTIBLES</t>
        </is>
      </c>
      <c r="B74" s="4" t="inlineStr"/>
      <c r="D74" s="4" t="inlineStr"/>
    </row>
    <row r="75">
      <c r="A75" s="3" t="inlineStr"/>
      <c r="B75" s="4" t="inlineStr">
        <is>
          <t>Regular (R), Premium (P), Diésel (D), Gasolinas (R + P) y Todos (R + P + D).</t>
        </is>
      </c>
      <c r="D75" s="4" t="inlineStr"/>
    </row>
    <row r="76">
      <c r="A76" s="3" t="inlineStr"/>
      <c r="B76" s="4" t="inlineStr">
        <is>
          <t>Regular y Premium por separado usan un reparto estimado de producción e importación</t>
        </is>
      </c>
      <c r="D76" s="4" t="inlineStr"/>
    </row>
    <row r="77">
      <c r="A77" s="3" t="inlineStr"/>
      <c r="B77" s="4" t="inlineStr">
        <is>
          <t>privada con la mezcla de ventas de Pemex; el agregado de gasolinas no lo necesita.</t>
        </is>
      </c>
      <c r="D77" s="4" t="inlineStr"/>
    </row>
    <row r="78">
      <c r="A78" s="3" t="inlineStr"/>
      <c r="B78" s="4" t="inlineStr"/>
      <c r="D78" s="4" t="inlineStr"/>
    </row>
    <row r="79">
      <c r="A79" s="5" t="inlineStr">
        <is>
          <t>EXPORTACIÓN DE DIÉSEL</t>
        </is>
      </c>
      <c r="B79" s="4" t="inlineStr"/>
      <c r="D79" s="4" t="inlineStr"/>
    </row>
    <row r="80">
      <c r="A80" s="3" t="inlineStr"/>
      <c r="B80" s="4" t="inlineStr">
        <is>
          <t>El archivo INDI11 agrupa el diésel dentro de «Otros». La serie se toma del 20-F:</t>
        </is>
      </c>
      <c r="D80" s="4" t="inlineStr"/>
    </row>
    <row r="81">
      <c r="A81" s="3" t="inlineStr"/>
      <c r="B81" s="4" t="inlineStr">
        <is>
          <t>0.0 m.b.d. hasta 2023, 2.8 en 2024 y 13.0 en 2025, ligada al arranque de Olmeca.</t>
        </is>
      </c>
      <c r="D81" s="4" t="inlineStr"/>
    </row>
    <row r="82">
      <c r="A82" s="3" t="inlineStr"/>
      <c r="B82" s="4" t="inlineStr"/>
      <c r="D82" s="4" t="inlineStr"/>
    </row>
    <row r="83">
      <c r="A83" s="5" t="inlineStr">
        <is>
          <t>HOJAS DEL LIBRO</t>
        </is>
      </c>
      <c r="B83" s="4" t="inlineStr"/>
      <c r="D83" s="4" t="inlineStr"/>
    </row>
    <row r="84">
      <c r="A84" s="3" t="inlineStr"/>
      <c r="B84" s="4" t="inlineStr">
        <is>
          <t>1. LÉEME</t>
        </is>
      </c>
      <c r="D84" s="4" t="inlineStr"/>
    </row>
    <row r="85">
      <c r="A85" s="3" t="inlineStr"/>
      <c r="B85" s="4" t="inlineStr">
        <is>
          <t>2. Datos</t>
        </is>
      </c>
      <c r="D85" s="4" t="inlineStr"/>
    </row>
    <row r="86">
      <c r="A86" s="3" t="inlineStr"/>
      <c r="B86" s="4" t="inlineStr">
        <is>
          <t>3. Diagnóstico</t>
        </is>
      </c>
      <c r="D86" s="4" t="inlineStr"/>
    </row>
    <row r="87">
      <c r="A87" s="3" t="inlineStr"/>
      <c r="B87" s="4" t="inlineStr">
        <is>
          <t>4. Balance</t>
        </is>
      </c>
      <c r="D87" s="4" t="inlineStr"/>
    </row>
    <row r="88">
      <c r="A88" s="3" t="inlineStr"/>
      <c r="B88" s="4" t="inlineStr">
        <is>
          <t>5. Etapas del mercado</t>
        </is>
      </c>
      <c r="D88" s="4" t="inlineStr"/>
    </row>
    <row r="89">
      <c r="A89" s="3" t="inlineStr"/>
      <c r="B89" s="4" t="inlineStr">
        <is>
          <t>6. Regional</t>
        </is>
      </c>
      <c r="D89" s="4" t="inlineStr"/>
    </row>
    <row r="90">
      <c r="A90" s="3" t="inlineStr"/>
      <c r="B90" s="4" t="inlineStr">
        <is>
          <t>7. Desestacionalizado</t>
        </is>
      </c>
      <c r="D90" s="4" t="inlineStr"/>
    </row>
    <row r="91">
      <c r="A91" s="3" t="inlineStr"/>
      <c r="B91" s="4" t="inlineStr">
        <is>
          <t>8. Pronóstico</t>
        </is>
      </c>
      <c r="D91" s="4" t="inlineStr"/>
    </row>
    <row r="92">
      <c r="A92" s="3" t="inlineStr"/>
      <c r="B92" s="4" t="inlineStr">
        <is>
          <t>9. Validación 20-F</t>
        </is>
      </c>
      <c r="D92" s="4" t="inlineStr"/>
    </row>
    <row r="93">
      <c r="A93" s="3" t="inlineStr"/>
      <c r="B93" s="4" t="inlineStr">
        <is>
          <t>10. Contraste</t>
        </is>
      </c>
      <c r="D93" s="4" t="inlineStr"/>
    </row>
    <row r="94">
      <c r="A94" s="3" t="inlineStr"/>
      <c r="B94" s="4" t="inlineStr">
        <is>
          <t>11. IEPS dos periodos</t>
        </is>
      </c>
      <c r="D94" s="4" t="inlineStr"/>
    </row>
    <row r="95">
      <c r="A95" s="3" t="inlineStr"/>
      <c r="B95" s="4" t="inlineStr">
        <is>
          <t>12. Recaudación calculada</t>
        </is>
      </c>
      <c r="D95" s="4" t="inlineStr"/>
    </row>
    <row r="96">
      <c r="A96" s="3" t="inlineStr"/>
      <c r="B96" s="4" t="inlineStr">
        <is>
          <t>13. Mediciones por combustible</t>
        </is>
      </c>
      <c r="D96" s="4" t="inlineStr"/>
    </row>
    <row r="97">
      <c r="A97" s="3" t="inlineStr"/>
      <c r="B97" s="4" t="inlineStr">
        <is>
          <t>14. Balance por combustible</t>
        </is>
      </c>
      <c r="D97" s="4" t="inlineStr"/>
    </row>
    <row r="98">
      <c r="A98" s="3" t="inlineStr"/>
      <c r="B98" s="4" t="inlineStr">
        <is>
          <t>15. Sobrante por combustible</t>
        </is>
      </c>
      <c r="D98" s="4" t="inlineStr"/>
    </row>
    <row r="99">
      <c r="A99" s="3" t="inlineStr"/>
      <c r="B99" s="4" t="inlineStr">
        <is>
          <t>16. IEPS por producto</t>
        </is>
      </c>
      <c r="D99" s="4" t="inlineStr"/>
    </row>
    <row r="100">
      <c r="A100" s="3" t="inlineStr"/>
      <c r="B100" s="4" t="inlineStr">
        <is>
          <t>17. Recaudación observada</t>
        </is>
      </c>
      <c r="D100" s="4" t="inlineStr"/>
    </row>
    <row r="101">
      <c r="A101" s="3" t="inlineStr"/>
      <c r="B101" s="4" t="inlineStr">
        <is>
          <t>18. Impuesto al carbono</t>
        </is>
      </c>
      <c r="D101" s="4" t="inlineStr"/>
    </row>
    <row r="102">
      <c r="A102" s="3" t="inlineStr"/>
      <c r="B102" s="4" t="inlineStr">
        <is>
          <t>19. Actividad económica</t>
        </is>
      </c>
      <c r="D102" s="4" t="inlineStr"/>
    </row>
    <row r="103">
      <c r="A103" s="3" t="inlineStr"/>
      <c r="B103" s="4" t="inlineStr">
        <is>
          <t>20. Cobertura de fuentes</t>
        </is>
      </c>
      <c r="D10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Panel mensual</t>
        </is>
      </c>
    </row>
    <row r="2">
      <c r="A2" s="2" t="inlineStr">
        <is>
          <t>Millones de litros diarios · pesos por litro · datos observados</t>
        </is>
      </c>
    </row>
    <row r="4">
      <c r="A4" s="2" t="inlineStr">
        <is>
          <t>Fuente: F1, F3, F4, F2, F5 (ver LÉEME)</t>
        </is>
      </c>
    </row>
    <row r="5">
      <c r="A5" s="6" t="inlineStr">
        <is>
          <t>Mes</t>
        </is>
      </c>
      <c r="B5" s="7" t="inlineStr">
        <is>
          <t>Gasolinas, venta en bomba</t>
        </is>
      </c>
      <c r="C5" s="7" t="inlineStr">
        <is>
          <t>Regular, venta en bomba</t>
        </is>
      </c>
      <c r="D5" s="7" t="inlineStr">
        <is>
          <t>Premium, venta en bomba</t>
        </is>
      </c>
      <c r="E5" s="7" t="inlineStr">
        <is>
          <t>Diésel, venta en bomba</t>
        </is>
      </c>
      <c r="F5" s="7" t="inlineStr">
        <is>
          <t>Diésel automotriz</t>
        </is>
      </c>
      <c r="G5" s="7" t="inlineStr">
        <is>
          <t>Gasolinas ventas Pemex</t>
        </is>
      </c>
      <c r="H5" s="7" t="inlineStr">
        <is>
          <t>Gasolinas import. privada</t>
        </is>
      </c>
      <c r="I5" s="7" t="inlineStr">
        <is>
          <t>Gasolinas oferta SIE</t>
        </is>
      </c>
      <c r="J5" s="7" t="inlineStr">
        <is>
          <t>Diésel ventas Pemex</t>
        </is>
      </c>
      <c r="K5" s="7" t="inlineStr">
        <is>
          <t>Diésel import. privada</t>
        </is>
      </c>
      <c r="L5" s="7" t="inlineStr">
        <is>
          <t>Diésel oferta SIE</t>
        </is>
      </c>
      <c r="M5" s="7" t="inlineStr">
        <is>
          <t>Ratio gasolinas</t>
        </is>
      </c>
      <c r="N5" s="7" t="inlineStr">
        <is>
          <t>Ratio diésel</t>
        </is>
      </c>
      <c r="O5" s="7" t="inlineStr">
        <is>
          <t>Precio Regular</t>
        </is>
      </c>
      <c r="P5" s="7" t="inlineStr">
        <is>
          <t>Precio Premium</t>
        </is>
      </c>
      <c r="Q5" s="7" t="inlineStr">
        <is>
          <t>Precio Diésel</t>
        </is>
      </c>
      <c r="R5" s="7" t="inlineStr">
        <is>
          <t>Precio Regular real</t>
        </is>
      </c>
      <c r="S5" s="7" t="inlineStr">
        <is>
          <t>Precio Premium real</t>
        </is>
      </c>
      <c r="T5" s="7" t="inlineStr">
        <is>
          <t>Precio Diésel real</t>
        </is>
      </c>
      <c r="U5" s="7" t="inlineStr">
        <is>
          <t>Días del mes</t>
        </is>
      </c>
    </row>
    <row r="6">
      <c r="A6" s="8" t="n">
        <v>42370</v>
      </c>
      <c r="B6" s="9" t="n">
        <v>135.2088</v>
      </c>
      <c r="C6" s="9" t="n">
        <v>101.1997</v>
      </c>
      <c r="D6" s="9" t="n">
        <v>34.0092</v>
      </c>
      <c r="E6" s="9" t="n">
        <v>38.0724</v>
      </c>
      <c r="F6" s="9" t="n">
        <v>37.0749</v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>
        <v>31</v>
      </c>
    </row>
    <row r="7">
      <c r="A7" s="10" t="n">
        <v>42401</v>
      </c>
      <c r="B7" s="11" t="n">
        <v>135.0189</v>
      </c>
      <c r="C7" s="11" t="n">
        <v>100.2156</v>
      </c>
      <c r="D7" s="11" t="n">
        <v>34.8034</v>
      </c>
      <c r="E7" s="11" t="n">
        <v>40.7108</v>
      </c>
      <c r="F7" s="11" t="n">
        <v>39.788</v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29</v>
      </c>
    </row>
    <row r="8">
      <c r="A8" s="8" t="n">
        <v>42430</v>
      </c>
      <c r="B8" s="9" t="n">
        <v>139.2875</v>
      </c>
      <c r="C8" s="9" t="n">
        <v>103.1131</v>
      </c>
      <c r="D8" s="9" t="n">
        <v>36.1744</v>
      </c>
      <c r="E8" s="9" t="n">
        <v>39.3225</v>
      </c>
      <c r="F8" s="9" t="n">
        <v>38.4252</v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>
        <v>31</v>
      </c>
    </row>
    <row r="9">
      <c r="A9" s="10" t="n">
        <v>42461</v>
      </c>
      <c r="B9" s="11" t="n">
        <v>119.4858</v>
      </c>
      <c r="C9" s="11" t="n">
        <v>92.48139999999999</v>
      </c>
      <c r="D9" s="11" t="n">
        <v>27.0045</v>
      </c>
      <c r="E9" s="11" t="n">
        <v>41.0071</v>
      </c>
      <c r="F9" s="11" t="n">
        <v>40.2071</v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30</v>
      </c>
    </row>
    <row r="10">
      <c r="A10" s="8" t="n">
        <v>42491</v>
      </c>
      <c r="B10" s="9" t="n">
        <v>122.6171</v>
      </c>
      <c r="C10" s="9" t="n">
        <v>94.39409999999999</v>
      </c>
      <c r="D10" s="9" t="n">
        <v>28.223</v>
      </c>
      <c r="E10" s="9" t="n">
        <v>40.9729</v>
      </c>
      <c r="F10" s="9" t="n">
        <v>40.2353</v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>
        <v>31</v>
      </c>
    </row>
    <row r="11">
      <c r="A11" s="10" t="n">
        <v>42522</v>
      </c>
      <c r="B11" s="11" t="n">
        <v>123.0114</v>
      </c>
      <c r="C11" s="11" t="n">
        <v>94.7577</v>
      </c>
      <c r="D11" s="11" t="n">
        <v>28.2537</v>
      </c>
      <c r="E11" s="11" t="n">
        <v>41.3782</v>
      </c>
      <c r="F11" s="11" t="n">
        <v>40.6235</v>
      </c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30</v>
      </c>
    </row>
    <row r="12">
      <c r="A12" s="8" t="n">
        <v>42552</v>
      </c>
      <c r="B12" s="9" t="n">
        <v>122.1454</v>
      </c>
      <c r="C12" s="9" t="n">
        <v>94.06310000000001</v>
      </c>
      <c r="D12" s="9" t="n">
        <v>28.0823</v>
      </c>
      <c r="E12" s="9" t="n">
        <v>39.3167</v>
      </c>
      <c r="F12" s="9" t="n">
        <v>38.6301</v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>
        <v>31</v>
      </c>
    </row>
    <row r="13">
      <c r="A13" s="10" t="n">
        <v>42583</v>
      </c>
      <c r="B13" s="11" t="n">
        <v>119.7112</v>
      </c>
      <c r="C13" s="11" t="n">
        <v>92.66630000000001</v>
      </c>
      <c r="D13" s="11" t="n">
        <v>27.045</v>
      </c>
      <c r="E13" s="11" t="n">
        <v>39.0926</v>
      </c>
      <c r="F13" s="11" t="n">
        <v>38.3257</v>
      </c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31</v>
      </c>
    </row>
    <row r="14">
      <c r="A14" s="8" t="n">
        <v>42614</v>
      </c>
      <c r="B14" s="9" t="n">
        <v>119.2344</v>
      </c>
      <c r="C14" s="9" t="n">
        <v>91.6863</v>
      </c>
      <c r="D14" s="9" t="n">
        <v>27.5481</v>
      </c>
      <c r="E14" s="9" t="n">
        <v>37.9432</v>
      </c>
      <c r="F14" s="9" t="n">
        <v>37.2521</v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>
        <v>30</v>
      </c>
    </row>
    <row r="15">
      <c r="A15" s="10" t="n">
        <v>42644</v>
      </c>
      <c r="B15" s="11" t="n">
        <v>118.3668</v>
      </c>
      <c r="C15" s="11" t="n">
        <v>91.2739</v>
      </c>
      <c r="D15" s="11" t="n">
        <v>27.0929</v>
      </c>
      <c r="E15" s="11" t="n">
        <v>38.6091</v>
      </c>
      <c r="F15" s="11" t="n">
        <v>38.0533</v>
      </c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31</v>
      </c>
    </row>
    <row r="16">
      <c r="A16" s="8" t="n">
        <v>42675</v>
      </c>
      <c r="B16" s="9" t="n">
        <v>118.6541</v>
      </c>
      <c r="C16" s="9" t="n">
        <v>91.1186</v>
      </c>
      <c r="D16" s="9" t="n">
        <v>27.5355</v>
      </c>
      <c r="E16" s="9" t="n">
        <v>39.5353</v>
      </c>
      <c r="F16" s="9" t="n">
        <v>39.031</v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>
        <v>30</v>
      </c>
    </row>
    <row r="17">
      <c r="A17" s="10" t="n">
        <v>42705</v>
      </c>
      <c r="B17" s="11" t="n">
        <v>132.6934</v>
      </c>
      <c r="C17" s="11" t="n">
        <v>100.653</v>
      </c>
      <c r="D17" s="11" t="n">
        <v>32.0403</v>
      </c>
      <c r="E17" s="11" t="n">
        <v>40.5994</v>
      </c>
      <c r="F17" s="11" t="n">
        <v>39.9581</v>
      </c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31</v>
      </c>
    </row>
    <row r="18">
      <c r="A18" s="8" t="n">
        <v>42736</v>
      </c>
      <c r="B18" s="9" t="n">
        <v>96.03660000000001</v>
      </c>
      <c r="C18" s="9" t="n">
        <v>77.9166</v>
      </c>
      <c r="D18" s="9" t="n">
        <v>18.12</v>
      </c>
      <c r="E18" s="9" t="n">
        <v>34.8877</v>
      </c>
      <c r="F18" s="9" t="n">
        <v>34.2651</v>
      </c>
      <c r="G18" s="9" t="n">
        <v>119.2349</v>
      </c>
      <c r="H18" s="9" t="n">
        <v>0.0397</v>
      </c>
      <c r="I18" s="9" t="n">
        <v>119.2747</v>
      </c>
      <c r="J18" s="9" t="n">
        <v>57.3439</v>
      </c>
      <c r="K18" s="9" t="n">
        <v>0.1237</v>
      </c>
      <c r="L18" s="9" t="n">
        <v>57.4675</v>
      </c>
      <c r="M18" s="9" t="n">
        <v>1.242</v>
      </c>
      <c r="N18" s="9" t="n">
        <v>1.6472</v>
      </c>
      <c r="O18" s="9" t="n">
        <v>16.0061</v>
      </c>
      <c r="P18" s="9" t="n">
        <v>17.8142</v>
      </c>
      <c r="Q18" s="9" t="n">
        <v>17.0706</v>
      </c>
      <c r="R18" s="9" t="n">
        <v>24.8172</v>
      </c>
      <c r="S18" s="9" t="n">
        <v>27.6206</v>
      </c>
      <c r="T18" s="9" t="n">
        <v>26.4677</v>
      </c>
      <c r="U18" s="9" t="n">
        <v>31</v>
      </c>
    </row>
    <row r="19">
      <c r="A19" s="10" t="n">
        <v>42767</v>
      </c>
      <c r="B19" s="11" t="n">
        <v>107.3783</v>
      </c>
      <c r="C19" s="11" t="n">
        <v>87.9778</v>
      </c>
      <c r="D19" s="11" t="n">
        <v>19.4005</v>
      </c>
      <c r="E19" s="11" t="n">
        <v>38.1159</v>
      </c>
      <c r="F19" s="11" t="n">
        <v>37.4901</v>
      </c>
      <c r="G19" s="11" t="n">
        <v>122.4775</v>
      </c>
      <c r="H19" s="11" t="n">
        <v>0.0453</v>
      </c>
      <c r="I19" s="11" t="n">
        <v>122.5228</v>
      </c>
      <c r="J19" s="11" t="n">
        <v>59.6918</v>
      </c>
      <c r="K19" s="11" t="n">
        <v>0.1617</v>
      </c>
      <c r="L19" s="11" t="n">
        <v>59.8535</v>
      </c>
      <c r="M19" s="11" t="n">
        <v>1.141</v>
      </c>
      <c r="N19" s="11" t="n">
        <v>1.5703</v>
      </c>
      <c r="O19" s="11" t="n">
        <v>15.9375</v>
      </c>
      <c r="P19" s="11" t="n">
        <v>17.7657</v>
      </c>
      <c r="Q19" s="11" t="n">
        <v>17.0607</v>
      </c>
      <c r="R19" s="11" t="n">
        <v>24.5688</v>
      </c>
      <c r="S19" s="11" t="n">
        <v>27.3871</v>
      </c>
      <c r="T19" s="11" t="n">
        <v>26.3003</v>
      </c>
      <c r="U19" s="11" t="n">
        <v>28</v>
      </c>
    </row>
    <row r="20">
      <c r="A20" s="8" t="n">
        <v>42795</v>
      </c>
      <c r="B20" s="9" t="n">
        <v>109.1286</v>
      </c>
      <c r="C20" s="9" t="n">
        <v>89.94</v>
      </c>
      <c r="D20" s="9" t="n">
        <v>19.1886</v>
      </c>
      <c r="E20" s="9" t="n">
        <v>39.1192</v>
      </c>
      <c r="F20" s="9" t="n">
        <v>38.643</v>
      </c>
      <c r="G20" s="9" t="n">
        <v>126.5878</v>
      </c>
      <c r="H20" s="9" t="n">
        <v>0.0536</v>
      </c>
      <c r="I20" s="9" t="n">
        <v>126.6413</v>
      </c>
      <c r="J20" s="9" t="n">
        <v>62.0287</v>
      </c>
      <c r="K20" s="9" t="n">
        <v>0.4461</v>
      </c>
      <c r="L20" s="9" t="n">
        <v>62.4749</v>
      </c>
      <c r="M20" s="9" t="n">
        <v>1.1605</v>
      </c>
      <c r="N20" s="9" t="n">
        <v>1.597</v>
      </c>
      <c r="O20" s="9" t="n">
        <v>15.7916</v>
      </c>
      <c r="P20" s="9" t="n">
        <v>17.6371</v>
      </c>
      <c r="Q20" s="9" t="n">
        <v>16.9513</v>
      </c>
      <c r="R20" s="9" t="n">
        <v>24.1954</v>
      </c>
      <c r="S20" s="9" t="n">
        <v>27.023</v>
      </c>
      <c r="T20" s="9" t="n">
        <v>25.9723</v>
      </c>
      <c r="U20" s="9" t="n">
        <v>31</v>
      </c>
    </row>
    <row r="21">
      <c r="A21" s="10" t="n">
        <v>42826</v>
      </c>
      <c r="B21" s="11" t="n">
        <v>108.8811</v>
      </c>
      <c r="C21" s="11" t="n">
        <v>89.598</v>
      </c>
      <c r="D21" s="11" t="n">
        <v>19.2831</v>
      </c>
      <c r="E21" s="11" t="n">
        <v>37.0809</v>
      </c>
      <c r="F21" s="11" t="n">
        <v>36.654</v>
      </c>
      <c r="G21" s="11" t="n">
        <v>122.4647</v>
      </c>
      <c r="H21" s="11" t="n">
        <v>0.052</v>
      </c>
      <c r="I21" s="11" t="n">
        <v>122.5167</v>
      </c>
      <c r="J21" s="11" t="n">
        <v>58.4944</v>
      </c>
      <c r="K21" s="11" t="n">
        <v>0.7803</v>
      </c>
      <c r="L21" s="11" t="n">
        <v>59.2748</v>
      </c>
      <c r="M21" s="11" t="n">
        <v>1.1252</v>
      </c>
      <c r="N21" s="11" t="n">
        <v>1.5985</v>
      </c>
      <c r="O21" s="11" t="n">
        <v>15.786</v>
      </c>
      <c r="P21" s="11" t="n">
        <v>17.6013</v>
      </c>
      <c r="Q21" s="11" t="n">
        <v>16.885</v>
      </c>
      <c r="R21" s="11" t="n">
        <v>24.1571</v>
      </c>
      <c r="S21" s="11" t="n">
        <v>26.9351</v>
      </c>
      <c r="T21" s="11" t="n">
        <v>25.8389</v>
      </c>
      <c r="U21" s="11" t="n">
        <v>30</v>
      </c>
    </row>
    <row r="22">
      <c r="A22" s="8" t="n">
        <v>42856</v>
      </c>
      <c r="B22" s="9" t="n">
        <v>110.5273</v>
      </c>
      <c r="C22" s="9" t="n">
        <v>91.50790000000001</v>
      </c>
      <c r="D22" s="9" t="n">
        <v>19.0193</v>
      </c>
      <c r="E22" s="9" t="n">
        <v>39.9224</v>
      </c>
      <c r="F22" s="9" t="n">
        <v>39.3486</v>
      </c>
      <c r="G22" s="9" t="n">
        <v>128.7899</v>
      </c>
      <c r="H22" s="9" t="n">
        <v>0.0523</v>
      </c>
      <c r="I22" s="9" t="n">
        <v>128.8422</v>
      </c>
      <c r="J22" s="9" t="n">
        <v>63.0172</v>
      </c>
      <c r="K22" s="9" t="n">
        <v>1.6209</v>
      </c>
      <c r="L22" s="9" t="n">
        <v>64.63800000000001</v>
      </c>
      <c r="M22" s="9" t="n">
        <v>1.1657</v>
      </c>
      <c r="N22" s="9" t="n">
        <v>1.6191</v>
      </c>
      <c r="O22" s="9" t="n">
        <v>15.69</v>
      </c>
      <c r="P22" s="9" t="n">
        <v>17.5319</v>
      </c>
      <c r="Q22" s="9" t="n">
        <v>16.7681</v>
      </c>
      <c r="R22" s="9" t="n">
        <v>24.039</v>
      </c>
      <c r="S22" s="9" t="n">
        <v>26.8611</v>
      </c>
      <c r="T22" s="9" t="n">
        <v>25.6907</v>
      </c>
      <c r="U22" s="9" t="n">
        <v>31</v>
      </c>
    </row>
    <row r="23">
      <c r="A23" s="10" t="n">
        <v>42887</v>
      </c>
      <c r="B23" s="11" t="n">
        <v>110.9909</v>
      </c>
      <c r="C23" s="11" t="n">
        <v>92.1302</v>
      </c>
      <c r="D23" s="11" t="n">
        <v>18.8607</v>
      </c>
      <c r="E23" s="11" t="n">
        <v>39.2526</v>
      </c>
      <c r="F23" s="11" t="n">
        <v>38.6224</v>
      </c>
      <c r="G23" s="11" t="n">
        <v>129.8096</v>
      </c>
      <c r="H23" s="11" t="n">
        <v>0.0576</v>
      </c>
      <c r="I23" s="11" t="n">
        <v>129.8672</v>
      </c>
      <c r="J23" s="11" t="n">
        <v>62.0116</v>
      </c>
      <c r="K23" s="11" t="n">
        <v>2.7155</v>
      </c>
      <c r="L23" s="11" t="n">
        <v>64.72709999999999</v>
      </c>
      <c r="M23" s="11" t="n">
        <v>1.1701</v>
      </c>
      <c r="N23" s="11" t="n">
        <v>1.649</v>
      </c>
      <c r="O23" s="11" t="n">
        <v>15.583</v>
      </c>
      <c r="P23" s="11" t="n">
        <v>17.404</v>
      </c>
      <c r="Q23" s="11" t="n">
        <v>16.595</v>
      </c>
      <c r="R23" s="11" t="n">
        <v>23.8152</v>
      </c>
      <c r="S23" s="11" t="n">
        <v>26.5982</v>
      </c>
      <c r="T23" s="11" t="n">
        <v>25.3618</v>
      </c>
      <c r="U23" s="11" t="n">
        <v>30</v>
      </c>
    </row>
    <row r="24">
      <c r="A24" s="8" t="n">
        <v>42917</v>
      </c>
      <c r="B24" s="9" t="n">
        <v>109.0698</v>
      </c>
      <c r="C24" s="9" t="n">
        <v>90.41849999999999</v>
      </c>
      <c r="D24" s="9" t="n">
        <v>18.6513</v>
      </c>
      <c r="E24" s="9" t="n">
        <v>36.5906</v>
      </c>
      <c r="F24" s="9" t="n">
        <v>36.1447</v>
      </c>
      <c r="G24" s="9" t="n">
        <v>125.4766</v>
      </c>
      <c r="H24" s="9" t="n">
        <v>0.0537</v>
      </c>
      <c r="I24" s="9" t="n">
        <v>125.5303</v>
      </c>
      <c r="J24" s="9" t="n">
        <v>56.7904</v>
      </c>
      <c r="K24" s="9" t="n">
        <v>3.4429</v>
      </c>
      <c r="L24" s="9" t="n">
        <v>60.2333</v>
      </c>
      <c r="M24" s="9" t="n">
        <v>1.1509</v>
      </c>
      <c r="N24" s="9" t="n">
        <v>1.6461</v>
      </c>
      <c r="O24" s="9" t="n">
        <v>15.4961</v>
      </c>
      <c r="P24" s="9" t="n">
        <v>17.309</v>
      </c>
      <c r="Q24" s="9" t="n">
        <v>16.4739</v>
      </c>
      <c r="R24" s="9" t="n">
        <v>23.5932</v>
      </c>
      <c r="S24" s="9" t="n">
        <v>26.3534</v>
      </c>
      <c r="T24" s="9" t="n">
        <v>25.0818</v>
      </c>
      <c r="U24" s="9" t="n">
        <v>31</v>
      </c>
    </row>
    <row r="25">
      <c r="A25" s="10" t="n">
        <v>42948</v>
      </c>
      <c r="B25" s="11" t="n">
        <v>107.3448</v>
      </c>
      <c r="C25" s="11" t="n">
        <v>89.181</v>
      </c>
      <c r="D25" s="11" t="n">
        <v>18.1637</v>
      </c>
      <c r="E25" s="11" t="n">
        <v>35.9533</v>
      </c>
      <c r="F25" s="11" t="n">
        <v>35.5456</v>
      </c>
      <c r="G25" s="11" t="n">
        <v>130.3699</v>
      </c>
      <c r="H25" s="11" t="n">
        <v>0.0598</v>
      </c>
      <c r="I25" s="11" t="n">
        <v>130.4297</v>
      </c>
      <c r="J25" s="11" t="n">
        <v>57.6876</v>
      </c>
      <c r="K25" s="11" t="n">
        <v>4.3512</v>
      </c>
      <c r="L25" s="11" t="n">
        <v>62.0388</v>
      </c>
      <c r="M25" s="11" t="n">
        <v>1.2151</v>
      </c>
      <c r="N25" s="11" t="n">
        <v>1.7255</v>
      </c>
      <c r="O25" s="11" t="n">
        <v>15.5648</v>
      </c>
      <c r="P25" s="11" t="n">
        <v>17.3852</v>
      </c>
      <c r="Q25" s="11" t="n">
        <v>16.521</v>
      </c>
      <c r="R25" s="11" t="n">
        <v>23.5813</v>
      </c>
      <c r="S25" s="11" t="n">
        <v>26.3391</v>
      </c>
      <c r="T25" s="11" t="n">
        <v>25.0299</v>
      </c>
      <c r="U25" s="11" t="n">
        <v>31</v>
      </c>
    </row>
    <row r="26">
      <c r="A26" s="8" t="n">
        <v>42979</v>
      </c>
      <c r="B26" s="9" t="n">
        <v>103.7323</v>
      </c>
      <c r="C26" s="9" t="n">
        <v>86.7467</v>
      </c>
      <c r="D26" s="9" t="n">
        <v>16.9856</v>
      </c>
      <c r="E26" s="9" t="n">
        <v>33.6567</v>
      </c>
      <c r="F26" s="9" t="n">
        <v>33.2334</v>
      </c>
      <c r="G26" s="9" t="n">
        <v>126.4199</v>
      </c>
      <c r="H26" s="9" t="n">
        <v>0.1517</v>
      </c>
      <c r="I26" s="9" t="n">
        <v>126.5715</v>
      </c>
      <c r="J26" s="9" t="n">
        <v>55.3169</v>
      </c>
      <c r="K26" s="9" t="n">
        <v>4.4938</v>
      </c>
      <c r="L26" s="9" t="n">
        <v>59.8107</v>
      </c>
      <c r="M26" s="9" t="n">
        <v>1.2202</v>
      </c>
      <c r="N26" s="9" t="n">
        <v>1.7771</v>
      </c>
      <c r="O26" s="9" t="n">
        <v>15.7893</v>
      </c>
      <c r="P26" s="9" t="n">
        <v>17.6363</v>
      </c>
      <c r="Q26" s="9" t="n">
        <v>16.7657</v>
      </c>
      <c r="R26" s="9" t="n">
        <v>23.8468</v>
      </c>
      <c r="S26" s="9" t="n">
        <v>26.6363</v>
      </c>
      <c r="T26" s="9" t="n">
        <v>25.3214</v>
      </c>
      <c r="U26" s="9" t="n">
        <v>30</v>
      </c>
    </row>
    <row r="27">
      <c r="A27" s="10" t="n">
        <v>43009</v>
      </c>
      <c r="B27" s="11" t="n">
        <v>104.1003</v>
      </c>
      <c r="C27" s="11" t="n">
        <v>87.1944</v>
      </c>
      <c r="D27" s="11" t="n">
        <v>16.906</v>
      </c>
      <c r="E27" s="11" t="n">
        <v>35.7302</v>
      </c>
      <c r="F27" s="11" t="n">
        <v>35.2638</v>
      </c>
      <c r="G27" s="11" t="n">
        <v>124.2463</v>
      </c>
      <c r="H27" s="11" t="n">
        <v>0.7582</v>
      </c>
      <c r="I27" s="11" t="n">
        <v>125.0046</v>
      </c>
      <c r="J27" s="11" t="n">
        <v>54.1614</v>
      </c>
      <c r="K27" s="11" t="n">
        <v>5.7927</v>
      </c>
      <c r="L27" s="11" t="n">
        <v>59.9541</v>
      </c>
      <c r="M27" s="11" t="n">
        <v>1.2008</v>
      </c>
      <c r="N27" s="11" t="n">
        <v>1.678</v>
      </c>
      <c r="O27" s="11" t="n">
        <v>15.9226</v>
      </c>
      <c r="P27" s="11" t="n">
        <v>17.7377</v>
      </c>
      <c r="Q27" s="11" t="n">
        <v>16.9571</v>
      </c>
      <c r="R27" s="11" t="n">
        <v>23.8976</v>
      </c>
      <c r="S27" s="11" t="n">
        <v>26.6219</v>
      </c>
      <c r="T27" s="11" t="n">
        <v>25.4503</v>
      </c>
      <c r="U27" s="11" t="n">
        <v>31</v>
      </c>
    </row>
    <row r="28">
      <c r="A28" s="8" t="n">
        <v>43040</v>
      </c>
      <c r="B28" s="9" t="n">
        <v>104.6525</v>
      </c>
      <c r="C28" s="9" t="n">
        <v>87.453</v>
      </c>
      <c r="D28" s="9" t="n">
        <v>17.1995</v>
      </c>
      <c r="E28" s="9" t="n">
        <v>37.385</v>
      </c>
      <c r="F28" s="9" t="n">
        <v>36.9097</v>
      </c>
      <c r="G28" s="9" t="n">
        <v>129.3813</v>
      </c>
      <c r="H28" s="9" t="n">
        <v>1.2344</v>
      </c>
      <c r="I28" s="9" t="n">
        <v>130.6157</v>
      </c>
      <c r="J28" s="9" t="n">
        <v>56.5303</v>
      </c>
      <c r="K28" s="9" t="n">
        <v>6.7481</v>
      </c>
      <c r="L28" s="9" t="n">
        <v>63.2784</v>
      </c>
      <c r="M28" s="9" t="n">
        <v>1.2481</v>
      </c>
      <c r="N28" s="9" t="n">
        <v>1.6926</v>
      </c>
      <c r="O28" s="9" t="n">
        <v>16.0213</v>
      </c>
      <c r="P28" s="9" t="n">
        <v>17.8507</v>
      </c>
      <c r="Q28" s="9" t="n">
        <v>17.0843</v>
      </c>
      <c r="R28" s="9" t="n">
        <v>23.8005</v>
      </c>
      <c r="S28" s="9" t="n">
        <v>26.518</v>
      </c>
      <c r="T28" s="9" t="n">
        <v>25.3796</v>
      </c>
      <c r="U28" s="9" t="n">
        <v>30</v>
      </c>
    </row>
    <row r="29">
      <c r="A29" s="10" t="n">
        <v>43070</v>
      </c>
      <c r="B29" s="11" t="n">
        <v>111.2994</v>
      </c>
      <c r="C29" s="11" t="n">
        <v>92.9157</v>
      </c>
      <c r="D29" s="11" t="n">
        <v>18.3836</v>
      </c>
      <c r="E29" s="11" t="n">
        <v>34.3483</v>
      </c>
      <c r="F29" s="11" t="n">
        <v>33.8628</v>
      </c>
      <c r="G29" s="11" t="n">
        <v>135.9578</v>
      </c>
      <c r="H29" s="11" t="n">
        <v>0.6518</v>
      </c>
      <c r="I29" s="11" t="n">
        <v>136.6097</v>
      </c>
      <c r="J29" s="11" t="n">
        <v>54.3148</v>
      </c>
      <c r="K29" s="11" t="n">
        <v>5.7962</v>
      </c>
      <c r="L29" s="11" t="n">
        <v>60.111</v>
      </c>
      <c r="M29" s="11" t="n">
        <v>1.2274</v>
      </c>
      <c r="N29" s="11" t="n">
        <v>1.75</v>
      </c>
      <c r="O29" s="11" t="n">
        <v>16.1681</v>
      </c>
      <c r="P29" s="11" t="n">
        <v>17.9765</v>
      </c>
      <c r="Q29" s="11" t="n">
        <v>17.2461</v>
      </c>
      <c r="R29" s="11" t="n">
        <v>23.8773</v>
      </c>
      <c r="S29" s="11" t="n">
        <v>26.5479</v>
      </c>
      <c r="T29" s="11" t="n">
        <v>25.4694</v>
      </c>
      <c r="U29" s="11" t="n">
        <v>31</v>
      </c>
    </row>
    <row r="30">
      <c r="A30" s="8" t="n">
        <v>43101</v>
      </c>
      <c r="B30" s="9" t="n">
        <v>101.3198</v>
      </c>
      <c r="C30" s="9" t="n">
        <v>85.1728</v>
      </c>
      <c r="D30" s="9" t="n">
        <v>16.147</v>
      </c>
      <c r="E30" s="9" t="n">
        <v>34.8789</v>
      </c>
      <c r="F30" s="9" t="n">
        <v>34.4449</v>
      </c>
      <c r="G30" s="9" t="n">
        <v>121.6186</v>
      </c>
      <c r="H30" s="9" t="n">
        <v>0.8568</v>
      </c>
      <c r="I30" s="9" t="n">
        <v>122.4754</v>
      </c>
      <c r="J30" s="9" t="n">
        <v>51.7491</v>
      </c>
      <c r="K30" s="9" t="n">
        <v>5.7456</v>
      </c>
      <c r="L30" s="9" t="n">
        <v>57.4947</v>
      </c>
      <c r="M30" s="9" t="n">
        <v>1.2088</v>
      </c>
      <c r="N30" s="9" t="n">
        <v>1.6484</v>
      </c>
      <c r="O30" s="9" t="n">
        <v>16.7087</v>
      </c>
      <c r="P30" s="9" t="n">
        <v>18.4513</v>
      </c>
      <c r="Q30" s="9" t="n">
        <v>17.779</v>
      </c>
      <c r="R30" s="9" t="n">
        <v>24.5453</v>
      </c>
      <c r="S30" s="9" t="n">
        <v>27.1052</v>
      </c>
      <c r="T30" s="9" t="n">
        <v>26.1176</v>
      </c>
      <c r="U30" s="9" t="n">
        <v>31</v>
      </c>
    </row>
    <row r="31">
      <c r="A31" s="10" t="n">
        <v>43132</v>
      </c>
      <c r="B31" s="11" t="n">
        <v>102.4807</v>
      </c>
      <c r="C31" s="11" t="n">
        <v>86.7465</v>
      </c>
      <c r="D31" s="11" t="n">
        <v>15.7342</v>
      </c>
      <c r="E31" s="11" t="n">
        <v>35.2891</v>
      </c>
      <c r="F31" s="11" t="n">
        <v>34.9286</v>
      </c>
      <c r="G31" s="11" t="n">
        <v>123.5551</v>
      </c>
      <c r="H31" s="11" t="n">
        <v>1.6832</v>
      </c>
      <c r="I31" s="11" t="n">
        <v>125.2383</v>
      </c>
      <c r="J31" s="11" t="n">
        <v>52.4963</v>
      </c>
      <c r="K31" s="11" t="n">
        <v>7.0632</v>
      </c>
      <c r="L31" s="11" t="n">
        <v>59.5595</v>
      </c>
      <c r="M31" s="11" t="n">
        <v>1.2221</v>
      </c>
      <c r="N31" s="11" t="n">
        <v>1.6878</v>
      </c>
      <c r="O31" s="11" t="n">
        <v>17.3546</v>
      </c>
      <c r="P31" s="11" t="n">
        <v>18.9957</v>
      </c>
      <c r="Q31" s="11" t="n">
        <v>18.4439</v>
      </c>
      <c r="R31" s="11" t="n">
        <v>25.3974</v>
      </c>
      <c r="S31" s="11" t="n">
        <v>27.799</v>
      </c>
      <c r="T31" s="11" t="n">
        <v>26.9915</v>
      </c>
      <c r="U31" s="11" t="n">
        <v>28</v>
      </c>
    </row>
    <row r="32">
      <c r="A32" s="8" t="n">
        <v>43160</v>
      </c>
      <c r="B32" s="9" t="n">
        <v>100.575</v>
      </c>
      <c r="C32" s="9" t="n">
        <v>85.0761</v>
      </c>
      <c r="D32" s="9" t="n">
        <v>15.4989</v>
      </c>
      <c r="E32" s="9" t="n">
        <v>33.965</v>
      </c>
      <c r="F32" s="9" t="n">
        <v>33.5692</v>
      </c>
      <c r="G32" s="9" t="n">
        <v>127.9762</v>
      </c>
      <c r="H32" s="9" t="n">
        <v>1.6889</v>
      </c>
      <c r="I32" s="9" t="n">
        <v>129.6651</v>
      </c>
      <c r="J32" s="9" t="n">
        <v>53.9201</v>
      </c>
      <c r="K32" s="9" t="n">
        <v>7.1873</v>
      </c>
      <c r="L32" s="9" t="n">
        <v>61.1074</v>
      </c>
      <c r="M32" s="9" t="n">
        <v>1.2892</v>
      </c>
      <c r="N32" s="9" t="n">
        <v>1.7991</v>
      </c>
      <c r="O32" s="9" t="n">
        <v>17.5852</v>
      </c>
      <c r="P32" s="9" t="n">
        <v>19.1548</v>
      </c>
      <c r="Q32" s="9" t="n">
        <v>18.6884</v>
      </c>
      <c r="R32" s="9" t="n">
        <v>25.6518</v>
      </c>
      <c r="S32" s="9" t="n">
        <v>27.9415</v>
      </c>
      <c r="T32" s="9" t="n">
        <v>27.2611</v>
      </c>
      <c r="U32" s="9" t="n">
        <v>31</v>
      </c>
    </row>
    <row r="33">
      <c r="A33" s="10" t="n">
        <v>43191</v>
      </c>
      <c r="B33" s="11" t="n">
        <v>108.2048</v>
      </c>
      <c r="C33" s="11" t="n">
        <v>89.9054</v>
      </c>
      <c r="D33" s="11" t="n">
        <v>18.2994</v>
      </c>
      <c r="E33" s="11" t="n">
        <v>36.8668</v>
      </c>
      <c r="F33" s="11" t="n">
        <v>36.4653</v>
      </c>
      <c r="G33" s="11" t="n">
        <v>120.6874</v>
      </c>
      <c r="H33" s="11" t="n">
        <v>1.6028</v>
      </c>
      <c r="I33" s="11" t="n">
        <v>122.2902</v>
      </c>
      <c r="J33" s="11" t="n">
        <v>53.1569</v>
      </c>
      <c r="K33" s="11" t="n">
        <v>9.4642</v>
      </c>
      <c r="L33" s="11" t="n">
        <v>62.6211</v>
      </c>
      <c r="M33" s="11" t="n">
        <v>1.1302</v>
      </c>
      <c r="N33" s="11" t="n">
        <v>1.6986</v>
      </c>
      <c r="O33" s="11" t="n">
        <v>17.6813</v>
      </c>
      <c r="P33" s="11" t="n">
        <v>19.2293</v>
      </c>
      <c r="Q33" s="11" t="n">
        <v>18.777</v>
      </c>
      <c r="R33" s="11" t="n">
        <v>25.8798</v>
      </c>
      <c r="S33" s="11" t="n">
        <v>28.1456</v>
      </c>
      <c r="T33" s="11" t="n">
        <v>27.4835</v>
      </c>
      <c r="U33" s="11" t="n">
        <v>30</v>
      </c>
    </row>
    <row r="34">
      <c r="A34" s="8" t="n">
        <v>43221</v>
      </c>
      <c r="B34" s="9" t="n">
        <v>117.5346</v>
      </c>
      <c r="C34" s="9" t="n">
        <v>98.75279999999999</v>
      </c>
      <c r="D34" s="9" t="n">
        <v>18.7817</v>
      </c>
      <c r="E34" s="9" t="n">
        <v>39.8139</v>
      </c>
      <c r="F34" s="9" t="n">
        <v>39.4838</v>
      </c>
      <c r="G34" s="9" t="n">
        <v>127.3627</v>
      </c>
      <c r="H34" s="9" t="n">
        <v>2.6772</v>
      </c>
      <c r="I34" s="9" t="n">
        <v>130.0398</v>
      </c>
      <c r="J34" s="9" t="n">
        <v>56.602</v>
      </c>
      <c r="K34" s="9" t="n">
        <v>8.031599999999999</v>
      </c>
      <c r="L34" s="9" t="n">
        <v>64.6336</v>
      </c>
      <c r="M34" s="9" t="n">
        <v>1.1064</v>
      </c>
      <c r="N34" s="9" t="n">
        <v>1.6234</v>
      </c>
      <c r="O34" s="9" t="n">
        <v>17.8445</v>
      </c>
      <c r="P34" s="9" t="n">
        <v>19.3658</v>
      </c>
      <c r="Q34" s="9" t="n">
        <v>18.9235</v>
      </c>
      <c r="R34" s="9" t="n">
        <v>26.1611</v>
      </c>
      <c r="S34" s="9" t="n">
        <v>28.3914</v>
      </c>
      <c r="T34" s="9" t="n">
        <v>27.743</v>
      </c>
      <c r="U34" s="9" t="n">
        <v>31</v>
      </c>
    </row>
    <row r="35">
      <c r="A35" s="10" t="n">
        <v>43252</v>
      </c>
      <c r="B35" s="11" t="n">
        <v>116.4238</v>
      </c>
      <c r="C35" s="11" t="n">
        <v>98.0796</v>
      </c>
      <c r="D35" s="11" t="n">
        <v>18.3442</v>
      </c>
      <c r="E35" s="11" t="n">
        <v>38.0295</v>
      </c>
      <c r="F35" s="11" t="n">
        <v>37.5765</v>
      </c>
      <c r="G35" s="11" t="n">
        <v>126.147</v>
      </c>
      <c r="H35" s="11" t="n">
        <v>2.9262</v>
      </c>
      <c r="I35" s="11" t="n">
        <v>129.0732</v>
      </c>
      <c r="J35" s="11" t="n">
        <v>56.3731</v>
      </c>
      <c r="K35" s="11" t="n">
        <v>9.860200000000001</v>
      </c>
      <c r="L35" s="11" t="n">
        <v>66.2333</v>
      </c>
      <c r="M35" s="11" t="n">
        <v>1.1086</v>
      </c>
      <c r="N35" s="11" t="n">
        <v>1.7416</v>
      </c>
      <c r="O35" s="11" t="n">
        <v>18.1023</v>
      </c>
      <c r="P35" s="11" t="n">
        <v>19.613</v>
      </c>
      <c r="Q35" s="11" t="n">
        <v>19.1713</v>
      </c>
      <c r="R35" s="11" t="n">
        <v>26.4369</v>
      </c>
      <c r="S35" s="11" t="n">
        <v>28.6431</v>
      </c>
      <c r="T35" s="11" t="n">
        <v>27.9981</v>
      </c>
      <c r="U35" s="11" t="n">
        <v>30</v>
      </c>
    </row>
    <row r="36">
      <c r="A36" s="8" t="n">
        <v>43282</v>
      </c>
      <c r="B36" s="9" t="n">
        <v>116.8665</v>
      </c>
      <c r="C36" s="9" t="n">
        <v>98.2863</v>
      </c>
      <c r="D36" s="9" t="n">
        <v>18.5802</v>
      </c>
      <c r="E36" s="9" t="n">
        <v>37.3995</v>
      </c>
      <c r="F36" s="9" t="n">
        <v>37.0145</v>
      </c>
      <c r="G36" s="9" t="n">
        <v>119.4699</v>
      </c>
      <c r="H36" s="9" t="n">
        <v>3.7058</v>
      </c>
      <c r="I36" s="9" t="n">
        <v>123.1757</v>
      </c>
      <c r="J36" s="9" t="n">
        <v>53.0448</v>
      </c>
      <c r="K36" s="9" t="n">
        <v>8.2416</v>
      </c>
      <c r="L36" s="9" t="n">
        <v>61.2864</v>
      </c>
      <c r="M36" s="9" t="n">
        <v>1.054</v>
      </c>
      <c r="N36" s="9" t="n">
        <v>1.6387</v>
      </c>
      <c r="O36" s="9" t="n">
        <v>18.4584</v>
      </c>
      <c r="P36" s="9" t="n">
        <v>19.9655</v>
      </c>
      <c r="Q36" s="9" t="n">
        <v>19.5329</v>
      </c>
      <c r="R36" s="9" t="n">
        <v>26.8132</v>
      </c>
      <c r="S36" s="9" t="n">
        <v>29.0025</v>
      </c>
      <c r="T36" s="9" t="n">
        <v>28.3741</v>
      </c>
      <c r="U36" s="9" t="n">
        <v>31</v>
      </c>
    </row>
    <row r="37">
      <c r="A37" s="10" t="n">
        <v>43313</v>
      </c>
      <c r="B37" s="11" t="n">
        <v>115.9103</v>
      </c>
      <c r="C37" s="11" t="n">
        <v>97.6268</v>
      </c>
      <c r="D37" s="11" t="n">
        <v>18.2835</v>
      </c>
      <c r="E37" s="11" t="n">
        <v>36.4229</v>
      </c>
      <c r="F37" s="11" t="n">
        <v>35.9752</v>
      </c>
      <c r="G37" s="11" t="n">
        <v>121.8541</v>
      </c>
      <c r="H37" s="11" t="n">
        <v>4.2874</v>
      </c>
      <c r="I37" s="11" t="n">
        <v>126.1415</v>
      </c>
      <c r="J37" s="11" t="n">
        <v>53.9212</v>
      </c>
      <c r="K37" s="11" t="n">
        <v>8.8712</v>
      </c>
      <c r="L37" s="11" t="n">
        <v>62.7924</v>
      </c>
      <c r="M37" s="11" t="n">
        <v>1.0883</v>
      </c>
      <c r="N37" s="11" t="n">
        <v>1.724</v>
      </c>
      <c r="O37" s="11" t="n">
        <v>18.9735</v>
      </c>
      <c r="P37" s="11" t="n">
        <v>20.4687</v>
      </c>
      <c r="Q37" s="11" t="n">
        <v>20.0435</v>
      </c>
      <c r="R37" s="11" t="n">
        <v>27.4017</v>
      </c>
      <c r="S37" s="11" t="n">
        <v>29.561</v>
      </c>
      <c r="T37" s="11" t="n">
        <v>28.947</v>
      </c>
      <c r="U37" s="11" t="n">
        <v>31</v>
      </c>
    </row>
    <row r="38">
      <c r="A38" s="8" t="n">
        <v>43344</v>
      </c>
      <c r="B38" s="9" t="n">
        <v>113.2245</v>
      </c>
      <c r="C38" s="9" t="n">
        <v>95.40349999999999</v>
      </c>
      <c r="D38" s="9" t="n">
        <v>17.8211</v>
      </c>
      <c r="E38" s="9" t="n">
        <v>33.772</v>
      </c>
      <c r="F38" s="9" t="n">
        <v>33.2651</v>
      </c>
      <c r="G38" s="9" t="n">
        <v>115.9917</v>
      </c>
      <c r="H38" s="9" t="n">
        <v>5.9565</v>
      </c>
      <c r="I38" s="9" t="n">
        <v>121.9482</v>
      </c>
      <c r="J38" s="9" t="n">
        <v>50.0223</v>
      </c>
      <c r="K38" s="9" t="n">
        <v>11.4464</v>
      </c>
      <c r="L38" s="9" t="n">
        <v>61.4688</v>
      </c>
      <c r="M38" s="9" t="n">
        <v>1.077</v>
      </c>
      <c r="N38" s="9" t="n">
        <v>1.8201</v>
      </c>
      <c r="O38" s="9" t="n">
        <v>19.23</v>
      </c>
      <c r="P38" s="9" t="n">
        <v>20.6977</v>
      </c>
      <c r="Q38" s="9" t="n">
        <v>20.3187</v>
      </c>
      <c r="R38" s="9" t="n">
        <v>27.6551</v>
      </c>
      <c r="S38" s="9" t="n">
        <v>29.7658</v>
      </c>
      <c r="T38" s="9" t="n">
        <v>29.2207</v>
      </c>
      <c r="U38" s="9" t="n">
        <v>30</v>
      </c>
    </row>
    <row r="39">
      <c r="A39" s="10" t="n">
        <v>43374</v>
      </c>
      <c r="B39" s="11" t="n">
        <v>112.9417</v>
      </c>
      <c r="C39" s="11" t="n">
        <v>95.1935</v>
      </c>
      <c r="D39" s="11" t="n">
        <v>17.7482</v>
      </c>
      <c r="E39" s="11" t="n">
        <v>36.2453</v>
      </c>
      <c r="F39" s="11" t="n">
        <v>35.6841</v>
      </c>
      <c r="G39" s="11" t="n">
        <v>117.5628</v>
      </c>
      <c r="H39" s="11" t="n">
        <v>5.2576</v>
      </c>
      <c r="I39" s="11" t="n">
        <v>122.8204</v>
      </c>
      <c r="J39" s="11" t="n">
        <v>50.9697</v>
      </c>
      <c r="K39" s="11" t="n">
        <v>10.6518</v>
      </c>
      <c r="L39" s="11" t="n">
        <v>61.6216</v>
      </c>
      <c r="M39" s="11" t="n">
        <v>1.0875</v>
      </c>
      <c r="N39" s="11" t="n">
        <v>1.7001</v>
      </c>
      <c r="O39" s="11" t="n">
        <v>19.4313</v>
      </c>
      <c r="P39" s="11" t="n">
        <v>20.9342</v>
      </c>
      <c r="Q39" s="11" t="n">
        <v>20.6071</v>
      </c>
      <c r="R39" s="11" t="n">
        <v>27.8005</v>
      </c>
      <c r="S39" s="11" t="n">
        <v>29.9507</v>
      </c>
      <c r="T39" s="11" t="n">
        <v>29.4827</v>
      </c>
      <c r="U39" s="11" t="n">
        <v>31</v>
      </c>
    </row>
    <row r="40">
      <c r="A40" s="8" t="n">
        <v>43405</v>
      </c>
      <c r="B40" s="9" t="n">
        <v>112.6648</v>
      </c>
      <c r="C40" s="9" t="n">
        <v>94.93389999999999</v>
      </c>
      <c r="D40" s="9" t="n">
        <v>17.7309</v>
      </c>
      <c r="E40" s="9" t="n">
        <v>36.5546</v>
      </c>
      <c r="F40" s="9" t="n">
        <v>35.8233</v>
      </c>
      <c r="G40" s="9" t="n">
        <v>117.2399</v>
      </c>
      <c r="H40" s="9" t="n">
        <v>5.8701</v>
      </c>
      <c r="I40" s="9" t="n">
        <v>123.1101</v>
      </c>
      <c r="J40" s="9" t="n">
        <v>52.1531</v>
      </c>
      <c r="K40" s="9" t="n">
        <v>10.5153</v>
      </c>
      <c r="L40" s="9" t="n">
        <v>62.6683</v>
      </c>
      <c r="M40" s="9" t="n">
        <v>1.0927</v>
      </c>
      <c r="N40" s="9" t="n">
        <v>1.7144</v>
      </c>
      <c r="O40" s="9" t="n">
        <v>19.422</v>
      </c>
      <c r="P40" s="9" t="n">
        <v>20.949</v>
      </c>
      <c r="Q40" s="9" t="n">
        <v>20.7763</v>
      </c>
      <c r="R40" s="9" t="n">
        <v>27.5528</v>
      </c>
      <c r="S40" s="9" t="n">
        <v>29.7191</v>
      </c>
      <c r="T40" s="9" t="n">
        <v>29.4741</v>
      </c>
      <c r="U40" s="9" t="n">
        <v>30</v>
      </c>
    </row>
    <row r="41">
      <c r="A41" s="10" t="n">
        <v>43435</v>
      </c>
      <c r="B41" s="11" t="n">
        <v>114.4041</v>
      </c>
      <c r="C41" s="11" t="n">
        <v>95.8378</v>
      </c>
      <c r="D41" s="11" t="n">
        <v>18.5663</v>
      </c>
      <c r="E41" s="11" t="n">
        <v>32.8534</v>
      </c>
      <c r="F41" s="11" t="n">
        <v>32.207</v>
      </c>
      <c r="G41" s="11" t="n">
        <v>118.5265</v>
      </c>
      <c r="H41" s="11" t="n">
        <v>6.6978</v>
      </c>
      <c r="I41" s="11" t="n">
        <v>125.2243</v>
      </c>
      <c r="J41" s="11" t="n">
        <v>47.6766</v>
      </c>
      <c r="K41" s="11" t="n">
        <v>9.1203</v>
      </c>
      <c r="L41" s="11" t="n">
        <v>56.7969</v>
      </c>
      <c r="M41" s="11" t="n">
        <v>1.0946</v>
      </c>
      <c r="N41" s="11" t="n">
        <v>1.7288</v>
      </c>
      <c r="O41" s="11" t="n">
        <v>19.1768</v>
      </c>
      <c r="P41" s="11" t="n">
        <v>20.71</v>
      </c>
      <c r="Q41" s="11" t="n">
        <v>20.6852</v>
      </c>
      <c r="R41" s="11" t="n">
        <v>27.0156</v>
      </c>
      <c r="S41" s="11" t="n">
        <v>29.1755</v>
      </c>
      <c r="T41" s="11" t="n">
        <v>29.1405</v>
      </c>
      <c r="U41" s="11" t="n">
        <v>31</v>
      </c>
    </row>
    <row r="42">
      <c r="A42" s="8" t="n">
        <v>43466</v>
      </c>
      <c r="B42" s="9" t="n">
        <v>113.1071</v>
      </c>
      <c r="C42" s="9" t="n">
        <v>96.0351</v>
      </c>
      <c r="D42" s="9" t="n">
        <v>17.072</v>
      </c>
      <c r="E42" s="9" t="n">
        <v>36.7617</v>
      </c>
      <c r="F42" s="9" t="n">
        <v>35.9072</v>
      </c>
      <c r="G42" s="9" t="n">
        <v>112.4384</v>
      </c>
      <c r="H42" s="9" t="n">
        <v>8.690200000000001</v>
      </c>
      <c r="I42" s="9" t="n">
        <v>121.1286</v>
      </c>
      <c r="J42" s="9" t="n">
        <v>46.2329</v>
      </c>
      <c r="K42" s="9" t="n">
        <v>11.1477</v>
      </c>
      <c r="L42" s="9" t="n">
        <v>57.3806</v>
      </c>
      <c r="M42" s="9" t="n">
        <v>1.0709</v>
      </c>
      <c r="N42" s="9" t="n">
        <v>1.5609</v>
      </c>
      <c r="O42" s="9" t="n">
        <v>18.8661</v>
      </c>
      <c r="P42" s="9" t="n">
        <v>20.2474</v>
      </c>
      <c r="Q42" s="9" t="n">
        <v>20.6042</v>
      </c>
      <c r="R42" s="9" t="n">
        <v>26.5553</v>
      </c>
      <c r="S42" s="9" t="n">
        <v>28.4995</v>
      </c>
      <c r="T42" s="9" t="n">
        <v>29.0017</v>
      </c>
      <c r="U42" s="9" t="n">
        <v>31</v>
      </c>
    </row>
    <row r="43">
      <c r="A43" s="10" t="n">
        <v>43497</v>
      </c>
      <c r="B43" s="11" t="n">
        <v>113.8223</v>
      </c>
      <c r="C43" s="11" t="n">
        <v>95.8125</v>
      </c>
      <c r="D43" s="11" t="n">
        <v>18.0098</v>
      </c>
      <c r="E43" s="11" t="n">
        <v>37.6939</v>
      </c>
      <c r="F43" s="11" t="n">
        <v>36.9959</v>
      </c>
      <c r="G43" s="11" t="n">
        <v>116.163</v>
      </c>
      <c r="H43" s="11" t="n">
        <v>9.620200000000001</v>
      </c>
      <c r="I43" s="11" t="n">
        <v>125.7831</v>
      </c>
      <c r="J43" s="11" t="n">
        <v>49.1282</v>
      </c>
      <c r="K43" s="11" t="n">
        <v>10.4857</v>
      </c>
      <c r="L43" s="11" t="n">
        <v>59.6139</v>
      </c>
      <c r="M43" s="11" t="n">
        <v>1.1051</v>
      </c>
      <c r="N43" s="11" t="n">
        <v>1.5815</v>
      </c>
      <c r="O43" s="11" t="n">
        <v>19.2514</v>
      </c>
      <c r="P43" s="11" t="n">
        <v>20.1971</v>
      </c>
      <c r="Q43" s="11" t="n">
        <v>21.4139</v>
      </c>
      <c r="R43" s="11" t="n">
        <v>27.1052</v>
      </c>
      <c r="S43" s="11" t="n">
        <v>28.4367</v>
      </c>
      <c r="T43" s="11" t="n">
        <v>30.1499</v>
      </c>
      <c r="U43" s="11" t="n">
        <v>28</v>
      </c>
    </row>
    <row r="44">
      <c r="A44" s="8" t="n">
        <v>43525</v>
      </c>
      <c r="B44" s="9" t="n">
        <v>114.1444</v>
      </c>
      <c r="C44" s="9" t="n">
        <v>94.5647</v>
      </c>
      <c r="D44" s="9" t="n">
        <v>19.5797</v>
      </c>
      <c r="E44" s="9" t="n">
        <v>36.5707</v>
      </c>
      <c r="F44" s="9" t="n">
        <v>35.8024</v>
      </c>
      <c r="G44" s="9" t="n">
        <v>115.0138</v>
      </c>
      <c r="H44" s="9" t="n">
        <v>10.373</v>
      </c>
      <c r="I44" s="9" t="n">
        <v>125.3868</v>
      </c>
      <c r="J44" s="9" t="n">
        <v>49.5571</v>
      </c>
      <c r="K44" s="9" t="n">
        <v>13.9883</v>
      </c>
      <c r="L44" s="9" t="n">
        <v>63.5455</v>
      </c>
      <c r="M44" s="9" t="n">
        <v>1.0985</v>
      </c>
      <c r="N44" s="9" t="n">
        <v>1.7376</v>
      </c>
      <c r="O44" s="9" t="n">
        <v>19.7506</v>
      </c>
      <c r="P44" s="9" t="n">
        <v>20.8342</v>
      </c>
      <c r="Q44" s="9" t="n">
        <v>21.5397</v>
      </c>
      <c r="R44" s="9" t="n">
        <v>27.7014</v>
      </c>
      <c r="S44" s="9" t="n">
        <v>29.2211</v>
      </c>
      <c r="T44" s="9" t="n">
        <v>30.2106</v>
      </c>
      <c r="U44" s="9" t="n">
        <v>31</v>
      </c>
    </row>
    <row r="45">
      <c r="A45" s="10" t="n">
        <v>43556</v>
      </c>
      <c r="B45" s="11" t="n">
        <v>113.2785</v>
      </c>
      <c r="C45" s="11" t="n">
        <v>94.92059999999999</v>
      </c>
      <c r="D45" s="11" t="n">
        <v>18.3579</v>
      </c>
      <c r="E45" s="11" t="n">
        <v>36.0788</v>
      </c>
      <c r="F45" s="11" t="n">
        <v>35.2279</v>
      </c>
      <c r="G45" s="11" t="n">
        <v>118.5548</v>
      </c>
      <c r="H45" s="11" t="n">
        <v>10.7601</v>
      </c>
      <c r="I45" s="11" t="n">
        <v>129.3149</v>
      </c>
      <c r="J45" s="11" t="n">
        <v>49.0042</v>
      </c>
      <c r="K45" s="11" t="n">
        <v>12.5285</v>
      </c>
      <c r="L45" s="11" t="n">
        <v>61.5327</v>
      </c>
      <c r="M45" s="11" t="n">
        <v>1.1416</v>
      </c>
      <c r="N45" s="11" t="n">
        <v>1.7055</v>
      </c>
      <c r="O45" s="11" t="n">
        <v>19.5593</v>
      </c>
      <c r="P45" s="11" t="n">
        <v>20.9363</v>
      </c>
      <c r="Q45" s="11" t="n">
        <v>21.3557</v>
      </c>
      <c r="R45" s="11" t="n">
        <v>27.4185</v>
      </c>
      <c r="S45" s="11" t="n">
        <v>29.3488</v>
      </c>
      <c r="T45" s="11" t="n">
        <v>29.9366</v>
      </c>
      <c r="U45" s="11" t="n">
        <v>30</v>
      </c>
    </row>
    <row r="46">
      <c r="A46" s="8" t="n">
        <v>43586</v>
      </c>
      <c r="B46" s="9" t="n">
        <v>118.0243</v>
      </c>
      <c r="C46" s="9" t="n">
        <v>99.17959999999999</v>
      </c>
      <c r="D46" s="9" t="n">
        <v>18.8447</v>
      </c>
      <c r="E46" s="9" t="n">
        <v>38.6718</v>
      </c>
      <c r="F46" s="9" t="n">
        <v>37.7455</v>
      </c>
      <c r="G46" s="9" t="n">
        <v>117.8894</v>
      </c>
      <c r="H46" s="9" t="n">
        <v>10.1051</v>
      </c>
      <c r="I46" s="9" t="n">
        <v>127.9945</v>
      </c>
      <c r="J46" s="9" t="n">
        <v>50.1783</v>
      </c>
      <c r="K46" s="9" t="n">
        <v>16.1925</v>
      </c>
      <c r="L46" s="9" t="n">
        <v>66.3708</v>
      </c>
      <c r="M46" s="9" t="n">
        <v>1.0845</v>
      </c>
      <c r="N46" s="9" t="n">
        <v>1.7163</v>
      </c>
      <c r="O46" s="9" t="n">
        <v>19.4806</v>
      </c>
      <c r="P46" s="9" t="n">
        <v>20.9452</v>
      </c>
      <c r="Q46" s="9" t="n">
        <v>21.2581</v>
      </c>
      <c r="R46" s="9" t="n">
        <v>27.387</v>
      </c>
      <c r="S46" s="9" t="n">
        <v>29.4459</v>
      </c>
      <c r="T46" s="9" t="n">
        <v>29.8858</v>
      </c>
      <c r="U46" s="9" t="n">
        <v>31</v>
      </c>
    </row>
    <row r="47">
      <c r="A47" s="10" t="n">
        <v>43617</v>
      </c>
      <c r="B47" s="11" t="n">
        <v>118.8557</v>
      </c>
      <c r="C47" s="11" t="n">
        <v>100.1199</v>
      </c>
      <c r="D47" s="11" t="n">
        <v>18.7359</v>
      </c>
      <c r="E47" s="11" t="n">
        <v>37.2375</v>
      </c>
      <c r="F47" s="11" t="n">
        <v>36.207</v>
      </c>
      <c r="G47" s="11" t="n">
        <v>115.1594</v>
      </c>
      <c r="H47" s="11" t="n">
        <v>10.3364</v>
      </c>
      <c r="I47" s="11" t="n">
        <v>125.4958</v>
      </c>
      <c r="J47" s="11" t="n">
        <v>48.3078</v>
      </c>
      <c r="K47" s="11" t="n">
        <v>12.835</v>
      </c>
      <c r="L47" s="11" t="n">
        <v>61.1429</v>
      </c>
      <c r="M47" s="11" t="n">
        <v>1.0559</v>
      </c>
      <c r="N47" s="11" t="n">
        <v>1.642</v>
      </c>
      <c r="O47" s="11" t="n">
        <v>19.338</v>
      </c>
      <c r="P47" s="11" t="n">
        <v>20.95</v>
      </c>
      <c r="Q47" s="11" t="n">
        <v>21.0603</v>
      </c>
      <c r="R47" s="11" t="n">
        <v>27.1691</v>
      </c>
      <c r="S47" s="11" t="n">
        <v>29.4339</v>
      </c>
      <c r="T47" s="11" t="n">
        <v>29.5889</v>
      </c>
      <c r="U47" s="11" t="n">
        <v>30</v>
      </c>
    </row>
    <row r="48">
      <c r="A48" s="8" t="n">
        <v>43647</v>
      </c>
      <c r="B48" s="9" t="n">
        <v>113.8586</v>
      </c>
      <c r="C48" s="9" t="n">
        <v>96.0194</v>
      </c>
      <c r="D48" s="9" t="n">
        <v>17.8393</v>
      </c>
      <c r="E48" s="9" t="n">
        <v>36.2229</v>
      </c>
      <c r="F48" s="9" t="n">
        <v>35.2562</v>
      </c>
      <c r="G48" s="9" t="n">
        <v>116.877</v>
      </c>
      <c r="H48" s="9" t="n">
        <v>12.4474</v>
      </c>
      <c r="I48" s="9" t="n">
        <v>129.3244</v>
      </c>
      <c r="J48" s="9" t="n">
        <v>47.3707</v>
      </c>
      <c r="K48" s="9" t="n">
        <v>14.1901</v>
      </c>
      <c r="L48" s="9" t="n">
        <v>61.5608</v>
      </c>
      <c r="M48" s="9" t="n">
        <v>1.1358</v>
      </c>
      <c r="N48" s="9" t="n">
        <v>1.6995</v>
      </c>
      <c r="O48" s="9" t="n">
        <v>19.4019</v>
      </c>
      <c r="P48" s="9" t="n">
        <v>20.971</v>
      </c>
      <c r="Q48" s="9" t="n">
        <v>21.1287</v>
      </c>
      <c r="R48" s="9" t="n">
        <v>27.1569</v>
      </c>
      <c r="S48" s="9" t="n">
        <v>29.3531</v>
      </c>
      <c r="T48" s="9" t="n">
        <v>29.5739</v>
      </c>
      <c r="U48" s="9" t="n">
        <v>31</v>
      </c>
    </row>
    <row r="49">
      <c r="A49" s="10" t="n">
        <v>43678</v>
      </c>
      <c r="B49" s="11" t="n">
        <v>115.437</v>
      </c>
      <c r="C49" s="11" t="n">
        <v>97.2587</v>
      </c>
      <c r="D49" s="11" t="n">
        <v>18.1783</v>
      </c>
      <c r="E49" s="11" t="n">
        <v>34.2718</v>
      </c>
      <c r="F49" s="11" t="n">
        <v>33.2228</v>
      </c>
      <c r="G49" s="11" t="n">
        <v>114.7607</v>
      </c>
      <c r="H49" s="11" t="n">
        <v>14.1726</v>
      </c>
      <c r="I49" s="11" t="n">
        <v>128.9333</v>
      </c>
      <c r="J49" s="11" t="n">
        <v>46.855</v>
      </c>
      <c r="K49" s="11" t="n">
        <v>14.5731</v>
      </c>
      <c r="L49" s="11" t="n">
        <v>61.4281</v>
      </c>
      <c r="M49" s="11" t="n">
        <v>1.1169</v>
      </c>
      <c r="N49" s="11" t="n">
        <v>1.7924</v>
      </c>
      <c r="O49" s="11" t="n">
        <v>19.3152</v>
      </c>
      <c r="P49" s="11" t="n">
        <v>20.9677</v>
      </c>
      <c r="Q49" s="11" t="n">
        <v>21.1087</v>
      </c>
      <c r="R49" s="11" t="n">
        <v>27.0399</v>
      </c>
      <c r="S49" s="11" t="n">
        <v>29.3534</v>
      </c>
      <c r="T49" s="11" t="n">
        <v>29.5508</v>
      </c>
      <c r="U49" s="11" t="n">
        <v>31</v>
      </c>
    </row>
    <row r="50">
      <c r="A50" s="8" t="n">
        <v>43709</v>
      </c>
      <c r="B50" s="9" t="n">
        <v>114.6074</v>
      </c>
      <c r="C50" s="9" t="n">
        <v>96.64360000000001</v>
      </c>
      <c r="D50" s="9" t="n">
        <v>17.9638</v>
      </c>
      <c r="E50" s="9" t="n">
        <v>33.1418</v>
      </c>
      <c r="F50" s="9" t="n">
        <v>32.057</v>
      </c>
      <c r="G50" s="9" t="n">
        <v>109.4666</v>
      </c>
      <c r="H50" s="9" t="n">
        <v>13.3149</v>
      </c>
      <c r="I50" s="9" t="n">
        <v>122.7814</v>
      </c>
      <c r="J50" s="9" t="n">
        <v>42.9749</v>
      </c>
      <c r="K50" s="9" t="n">
        <v>11.3455</v>
      </c>
      <c r="L50" s="9" t="n">
        <v>54.3204</v>
      </c>
      <c r="M50" s="9" t="n">
        <v>1.0713</v>
      </c>
      <c r="N50" s="9" t="n">
        <v>1.639</v>
      </c>
      <c r="O50" s="9" t="n">
        <v>19.37</v>
      </c>
      <c r="P50" s="9" t="n">
        <v>20.9607</v>
      </c>
      <c r="Q50" s="9" t="n">
        <v>21.147</v>
      </c>
      <c r="R50" s="9" t="n">
        <v>27.0457</v>
      </c>
      <c r="S50" s="9" t="n">
        <v>29.2667</v>
      </c>
      <c r="T50" s="9" t="n">
        <v>29.5269</v>
      </c>
      <c r="U50" s="9" t="n">
        <v>30</v>
      </c>
    </row>
    <row r="51">
      <c r="A51" s="10" t="n">
        <v>43739</v>
      </c>
      <c r="B51" s="11" t="n">
        <v>116.623</v>
      </c>
      <c r="C51" s="11" t="n">
        <v>98.3304</v>
      </c>
      <c r="D51" s="11" t="n">
        <v>18.2926</v>
      </c>
      <c r="E51" s="11" t="n">
        <v>35.6452</v>
      </c>
      <c r="F51" s="11" t="n">
        <v>34.4117</v>
      </c>
      <c r="G51" s="11" t="n">
        <v>111.5312</v>
      </c>
      <c r="H51" s="11" t="n">
        <v>16.1937</v>
      </c>
      <c r="I51" s="11" t="n">
        <v>127.7248</v>
      </c>
      <c r="J51" s="11" t="n">
        <v>43.7708</v>
      </c>
      <c r="K51" s="11" t="n">
        <v>12.9222</v>
      </c>
      <c r="L51" s="11" t="n">
        <v>56.693</v>
      </c>
      <c r="M51" s="11" t="n">
        <v>1.0952</v>
      </c>
      <c r="N51" s="11" t="n">
        <v>1.5905</v>
      </c>
      <c r="O51" s="11" t="n">
        <v>19.3216</v>
      </c>
      <c r="P51" s="11" t="n">
        <v>20.8887</v>
      </c>
      <c r="Q51" s="11" t="n">
        <v>21.0903</v>
      </c>
      <c r="R51" s="11" t="n">
        <v>26.8333</v>
      </c>
      <c r="S51" s="11" t="n">
        <v>29.0097</v>
      </c>
      <c r="T51" s="11" t="n">
        <v>29.2897</v>
      </c>
      <c r="U51" s="11" t="n">
        <v>31</v>
      </c>
    </row>
    <row r="52">
      <c r="A52" s="8" t="n">
        <v>43770</v>
      </c>
      <c r="B52" s="9" t="n">
        <v>117.8394</v>
      </c>
      <c r="C52" s="9" t="n">
        <v>98.73609999999999</v>
      </c>
      <c r="D52" s="9" t="n">
        <v>19.1033</v>
      </c>
      <c r="E52" s="9" t="n">
        <v>35.671</v>
      </c>
      <c r="F52" s="9" t="n">
        <v>34.3767</v>
      </c>
      <c r="G52" s="9" t="n">
        <v>110.4499</v>
      </c>
      <c r="H52" s="9" t="n">
        <v>16.9399</v>
      </c>
      <c r="I52" s="9" t="n">
        <v>127.3898</v>
      </c>
      <c r="J52" s="9" t="n">
        <v>43.98</v>
      </c>
      <c r="K52" s="9" t="n">
        <v>13.8173</v>
      </c>
      <c r="L52" s="9" t="n">
        <v>57.7973</v>
      </c>
      <c r="M52" s="9" t="n">
        <v>1.081</v>
      </c>
      <c r="N52" s="9" t="n">
        <v>1.6203</v>
      </c>
      <c r="O52" s="9" t="n">
        <v>19.3307</v>
      </c>
      <c r="P52" s="9" t="n">
        <v>20.7617</v>
      </c>
      <c r="Q52" s="9" t="n">
        <v>21.0743</v>
      </c>
      <c r="R52" s="9" t="n">
        <v>26.6311</v>
      </c>
      <c r="S52" s="9" t="n">
        <v>28.6025</v>
      </c>
      <c r="T52" s="9" t="n">
        <v>29.0333</v>
      </c>
      <c r="U52" s="9" t="n">
        <v>30</v>
      </c>
    </row>
    <row r="53">
      <c r="A53" s="10" t="n">
        <v>43800</v>
      </c>
      <c r="B53" s="11" t="n">
        <v>121.0782</v>
      </c>
      <c r="C53" s="11" t="n">
        <v>100.8188</v>
      </c>
      <c r="D53" s="11" t="n">
        <v>20.2594</v>
      </c>
      <c r="E53" s="11" t="n">
        <v>33.6476</v>
      </c>
      <c r="F53" s="11" t="n">
        <v>32.3642</v>
      </c>
      <c r="G53" s="11" t="n">
        <v>116.6088</v>
      </c>
      <c r="H53" s="11" t="n">
        <v>18.7239</v>
      </c>
      <c r="I53" s="11" t="n">
        <v>135.3327</v>
      </c>
      <c r="J53" s="11" t="n">
        <v>42.1167</v>
      </c>
      <c r="K53" s="11" t="n">
        <v>14.5206</v>
      </c>
      <c r="L53" s="11" t="n">
        <v>56.6373</v>
      </c>
      <c r="M53" s="11" t="n">
        <v>1.1177</v>
      </c>
      <c r="N53" s="11" t="n">
        <v>1.6832</v>
      </c>
      <c r="O53" s="11" t="n">
        <v>19.4342</v>
      </c>
      <c r="P53" s="11" t="n">
        <v>20.7839</v>
      </c>
      <c r="Q53" s="11" t="n">
        <v>21.1987</v>
      </c>
      <c r="R53" s="11" t="n">
        <v>26.6251</v>
      </c>
      <c r="S53" s="11" t="n">
        <v>28.4742</v>
      </c>
      <c r="T53" s="11" t="n">
        <v>29.0425</v>
      </c>
      <c r="U53" s="11" t="n">
        <v>31</v>
      </c>
    </row>
    <row r="54">
      <c r="A54" s="8" t="n">
        <v>43831</v>
      </c>
      <c r="B54" s="9" t="n">
        <v>113.9167</v>
      </c>
      <c r="C54" s="9" t="n">
        <v>94.7641</v>
      </c>
      <c r="D54" s="9" t="n">
        <v>19.1526</v>
      </c>
      <c r="E54" s="9" t="n">
        <v>35.0024</v>
      </c>
      <c r="F54" s="9" t="n">
        <v>33.6365</v>
      </c>
      <c r="G54" s="9" t="n">
        <v>106.0572</v>
      </c>
      <c r="H54" s="9" t="n">
        <v>17.7349</v>
      </c>
      <c r="I54" s="9" t="n">
        <v>123.7921</v>
      </c>
      <c r="J54" s="9" t="n">
        <v>41.1167</v>
      </c>
      <c r="K54" s="9" t="n">
        <v>14.3608</v>
      </c>
      <c r="L54" s="9" t="n">
        <v>55.4775</v>
      </c>
      <c r="M54" s="9" t="n">
        <v>1.0867</v>
      </c>
      <c r="N54" s="9" t="n">
        <v>1.585</v>
      </c>
      <c r="O54" s="9" t="n">
        <v>19.5306</v>
      </c>
      <c r="P54" s="9" t="n">
        <v>20.8342</v>
      </c>
      <c r="Q54" s="9" t="n">
        <v>21.2787</v>
      </c>
      <c r="R54" s="9" t="n">
        <v>26.6283</v>
      </c>
      <c r="S54" s="9" t="n">
        <v>28.4056</v>
      </c>
      <c r="T54" s="9" t="n">
        <v>29.0116</v>
      </c>
      <c r="U54" s="9" t="n">
        <v>31</v>
      </c>
    </row>
    <row r="55">
      <c r="A55" s="10" t="n">
        <v>43862</v>
      </c>
      <c r="B55" s="11" t="n">
        <v>115.6618</v>
      </c>
      <c r="C55" s="11" t="n">
        <v>94.9679</v>
      </c>
      <c r="D55" s="11" t="n">
        <v>20.6939</v>
      </c>
      <c r="E55" s="11" t="n">
        <v>34.8987</v>
      </c>
      <c r="F55" s="11" t="n">
        <v>33.5303</v>
      </c>
      <c r="G55" s="11" t="n">
        <v>107.6598</v>
      </c>
      <c r="H55" s="11" t="n">
        <v>16.5636</v>
      </c>
      <c r="I55" s="11" t="n">
        <v>124.2235</v>
      </c>
      <c r="J55" s="11" t="n">
        <v>41.9176</v>
      </c>
      <c r="K55" s="11" t="n">
        <v>13.902</v>
      </c>
      <c r="L55" s="11" t="n">
        <v>55.8196</v>
      </c>
      <c r="M55" s="11" t="n">
        <v>1.074</v>
      </c>
      <c r="N55" s="11" t="n">
        <v>1.5995</v>
      </c>
      <c r="O55" s="11" t="n">
        <v>19.429</v>
      </c>
      <c r="P55" s="11" t="n">
        <v>20.5497</v>
      </c>
      <c r="Q55" s="11" t="n">
        <v>21.0472</v>
      </c>
      <c r="R55" s="11" t="n">
        <v>26.3801</v>
      </c>
      <c r="S55" s="11" t="n">
        <v>27.9018</v>
      </c>
      <c r="T55" s="11" t="n">
        <v>28.5774</v>
      </c>
      <c r="U55" s="11" t="n">
        <v>29</v>
      </c>
    </row>
    <row r="56">
      <c r="A56" s="8" t="n">
        <v>43891</v>
      </c>
      <c r="B56" s="9" t="n">
        <v>108.8724</v>
      </c>
      <c r="C56" s="9" t="n">
        <v>88.92829999999999</v>
      </c>
      <c r="D56" s="9" t="n">
        <v>19.9441</v>
      </c>
      <c r="E56" s="9" t="n">
        <v>34.7248</v>
      </c>
      <c r="F56" s="9" t="n">
        <v>33.3572</v>
      </c>
      <c r="G56" s="9" t="n">
        <v>102.4486</v>
      </c>
      <c r="H56" s="9" t="n">
        <v>18.4079</v>
      </c>
      <c r="I56" s="9" t="n">
        <v>120.8564</v>
      </c>
      <c r="J56" s="9" t="n">
        <v>40.7233</v>
      </c>
      <c r="K56" s="9" t="n">
        <v>13.9712</v>
      </c>
      <c r="L56" s="9" t="n">
        <v>54.6945</v>
      </c>
      <c r="M56" s="9" t="n">
        <v>1.1101</v>
      </c>
      <c r="N56" s="9" t="n">
        <v>1.5751</v>
      </c>
      <c r="O56" s="9" t="n">
        <v>17.8997</v>
      </c>
      <c r="P56" s="9" t="n">
        <v>19.1184</v>
      </c>
      <c r="Q56" s="9" t="n">
        <v>20.1955</v>
      </c>
      <c r="R56" s="9" t="n">
        <v>24.3153</v>
      </c>
      <c r="S56" s="9" t="n">
        <v>25.9708</v>
      </c>
      <c r="T56" s="9" t="n">
        <v>27.434</v>
      </c>
      <c r="U56" s="9" t="n">
        <v>31</v>
      </c>
    </row>
    <row r="57">
      <c r="A57" s="10" t="n">
        <v>43922</v>
      </c>
      <c r="B57" s="11" t="n">
        <v>80.1925</v>
      </c>
      <c r="C57" s="11" t="n">
        <v>66.9795</v>
      </c>
      <c r="D57" s="11" t="n">
        <v>13.213</v>
      </c>
      <c r="E57" s="11" t="n">
        <v>28.5107</v>
      </c>
      <c r="F57" s="11" t="n">
        <v>27.3404</v>
      </c>
      <c r="G57" s="11" t="n">
        <v>71.092</v>
      </c>
      <c r="H57" s="11" t="n">
        <v>12.7398</v>
      </c>
      <c r="I57" s="11" t="n">
        <v>83.8318</v>
      </c>
      <c r="J57" s="11" t="n">
        <v>31.6197</v>
      </c>
      <c r="K57" s="11" t="n">
        <v>11.3471</v>
      </c>
      <c r="L57" s="11" t="n">
        <v>42.9668</v>
      </c>
      <c r="M57" s="11" t="n">
        <v>1.0454</v>
      </c>
      <c r="N57" s="11" t="n">
        <v>1.507</v>
      </c>
      <c r="O57" s="11" t="n">
        <v>15.1423</v>
      </c>
      <c r="P57" s="11" t="n">
        <v>16.4783</v>
      </c>
      <c r="Q57" s="11" t="n">
        <v>19.0623</v>
      </c>
      <c r="R57" s="11" t="n">
        <v>20.7803</v>
      </c>
      <c r="S57" s="11" t="n">
        <v>22.6137</v>
      </c>
      <c r="T57" s="11" t="n">
        <v>26.1599</v>
      </c>
      <c r="U57" s="11" t="n">
        <v>30</v>
      </c>
    </row>
    <row r="58">
      <c r="A58" s="8" t="n">
        <v>43952</v>
      </c>
      <c r="B58" s="9" t="n">
        <v>86.0168</v>
      </c>
      <c r="C58" s="9" t="n">
        <v>70.1756</v>
      </c>
      <c r="D58" s="9" t="n">
        <v>15.8412</v>
      </c>
      <c r="E58" s="9" t="n">
        <v>29.4694</v>
      </c>
      <c r="F58" s="9" t="n">
        <v>28.1457</v>
      </c>
      <c r="G58" s="9" t="n">
        <v>75.2388</v>
      </c>
      <c r="H58" s="9" t="n">
        <v>12.236</v>
      </c>
      <c r="I58" s="9" t="n">
        <v>87.4748</v>
      </c>
      <c r="J58" s="9" t="n">
        <v>30.4775</v>
      </c>
      <c r="K58" s="9" t="n">
        <v>10.5118</v>
      </c>
      <c r="L58" s="9" t="n">
        <v>40.9893</v>
      </c>
      <c r="M58" s="9" t="n">
        <v>1.017</v>
      </c>
      <c r="N58" s="9" t="n">
        <v>1.3909</v>
      </c>
      <c r="O58" s="9" t="n">
        <v>16.2616</v>
      </c>
      <c r="P58" s="9" t="n">
        <v>17.0897</v>
      </c>
      <c r="Q58" s="9" t="n">
        <v>18.6326</v>
      </c>
      <c r="R58" s="9" t="n">
        <v>22.2308</v>
      </c>
      <c r="S58" s="9" t="n">
        <v>23.3628</v>
      </c>
      <c r="T58" s="9" t="n">
        <v>25.4721</v>
      </c>
      <c r="U58" s="9" t="n">
        <v>31</v>
      </c>
    </row>
    <row r="59">
      <c r="A59" s="10" t="n">
        <v>43983</v>
      </c>
      <c r="B59" s="11" t="n">
        <v>95.35209999999999</v>
      </c>
      <c r="C59" s="11" t="n">
        <v>73.1062</v>
      </c>
      <c r="D59" s="11" t="n">
        <v>22.2459</v>
      </c>
      <c r="E59" s="11" t="n">
        <v>32.1614</v>
      </c>
      <c r="F59" s="11" t="n">
        <v>30.8057</v>
      </c>
      <c r="G59" s="11" t="n">
        <v>85.1272</v>
      </c>
      <c r="H59" s="11" t="n">
        <v>18.0527</v>
      </c>
      <c r="I59" s="11" t="n">
        <v>103.1799</v>
      </c>
      <c r="J59" s="11" t="n">
        <v>32.9868</v>
      </c>
      <c r="K59" s="11" t="n">
        <v>14.8818</v>
      </c>
      <c r="L59" s="11" t="n">
        <v>47.8687</v>
      </c>
      <c r="M59" s="11" t="n">
        <v>1.0821</v>
      </c>
      <c r="N59" s="11" t="n">
        <v>1.4884</v>
      </c>
      <c r="O59" s="11" t="n">
        <v>17.6473</v>
      </c>
      <c r="P59" s="11" t="n">
        <v>18.1583</v>
      </c>
      <c r="Q59" s="11" t="n">
        <v>19.1217</v>
      </c>
      <c r="R59" s="11" t="n">
        <v>23.9938</v>
      </c>
      <c r="S59" s="11" t="n">
        <v>24.6886</v>
      </c>
      <c r="T59" s="11" t="n">
        <v>25.9984</v>
      </c>
      <c r="U59" s="11" t="n">
        <v>30</v>
      </c>
    </row>
    <row r="60">
      <c r="A60" s="8" t="n">
        <v>44013</v>
      </c>
      <c r="B60" s="9" t="n">
        <v>101.4727</v>
      </c>
      <c r="C60" s="9" t="n">
        <v>75.95959999999999</v>
      </c>
      <c r="D60" s="9" t="n">
        <v>25.513</v>
      </c>
      <c r="E60" s="9" t="n">
        <v>32.0697</v>
      </c>
      <c r="F60" s="9" t="n">
        <v>30.6977</v>
      </c>
      <c r="G60" s="9" t="n">
        <v>88.6915</v>
      </c>
      <c r="H60" s="9" t="n">
        <v>17.9858</v>
      </c>
      <c r="I60" s="9" t="n">
        <v>106.6773</v>
      </c>
      <c r="J60" s="9" t="n">
        <v>33.1821</v>
      </c>
      <c r="K60" s="9" t="n">
        <v>13.06</v>
      </c>
      <c r="L60" s="9" t="n">
        <v>46.2421</v>
      </c>
      <c r="M60" s="9" t="n">
        <v>1.0513</v>
      </c>
      <c r="N60" s="9" t="n">
        <v>1.4419</v>
      </c>
      <c r="O60" s="9" t="n">
        <v>18.5926</v>
      </c>
      <c r="P60" s="9" t="n">
        <v>19.0677</v>
      </c>
      <c r="Q60" s="9" t="n">
        <v>19.6971</v>
      </c>
      <c r="R60" s="9" t="n">
        <v>25.1141</v>
      </c>
      <c r="S60" s="9" t="n">
        <v>25.7559</v>
      </c>
      <c r="T60" s="9" t="n">
        <v>26.606</v>
      </c>
      <c r="U60" s="9" t="n">
        <v>31</v>
      </c>
    </row>
    <row r="61">
      <c r="A61" s="10" t="n">
        <v>44044</v>
      </c>
      <c r="B61" s="11" t="n">
        <v>105.3196</v>
      </c>
      <c r="C61" s="11" t="n">
        <v>76.9132</v>
      </c>
      <c r="D61" s="11" t="n">
        <v>28.4064</v>
      </c>
      <c r="E61" s="11" t="n">
        <v>31.202</v>
      </c>
      <c r="F61" s="11" t="n">
        <v>29.7553</v>
      </c>
      <c r="G61" s="11" t="n">
        <v>87.8301</v>
      </c>
      <c r="H61" s="11" t="n">
        <v>18.7411</v>
      </c>
      <c r="I61" s="11" t="n">
        <v>106.5713</v>
      </c>
      <c r="J61" s="11" t="n">
        <v>31.03</v>
      </c>
      <c r="K61" s="11" t="n">
        <v>12.8738</v>
      </c>
      <c r="L61" s="11" t="n">
        <v>43.9039</v>
      </c>
      <c r="M61" s="11" t="n">
        <v>1.0119</v>
      </c>
      <c r="N61" s="11" t="n">
        <v>1.4071</v>
      </c>
      <c r="O61" s="11" t="n">
        <v>18.6174</v>
      </c>
      <c r="P61" s="11" t="n">
        <v>19.1106</v>
      </c>
      <c r="Q61" s="11" t="n">
        <v>19.729</v>
      </c>
      <c r="R61" s="11" t="n">
        <v>25.049</v>
      </c>
      <c r="S61" s="11" t="n">
        <v>25.7127</v>
      </c>
      <c r="T61" s="11" t="n">
        <v>26.5447</v>
      </c>
      <c r="U61" s="11" t="n">
        <v>31</v>
      </c>
    </row>
    <row r="62">
      <c r="A62" s="8" t="n">
        <v>44075</v>
      </c>
      <c r="B62" s="9" t="n">
        <v>105.9593</v>
      </c>
      <c r="C62" s="9" t="n">
        <v>77.1058</v>
      </c>
      <c r="D62" s="9" t="n">
        <v>28.8535</v>
      </c>
      <c r="E62" s="9" t="n">
        <v>31.4044</v>
      </c>
      <c r="F62" s="9" t="n">
        <v>30.024</v>
      </c>
      <c r="G62" s="9" t="n">
        <v>89.15049999999999</v>
      </c>
      <c r="H62" s="9" t="n">
        <v>20.9494</v>
      </c>
      <c r="I62" s="9" t="n">
        <v>110.1</v>
      </c>
      <c r="J62" s="9" t="n">
        <v>31.1661</v>
      </c>
      <c r="K62" s="9" t="n">
        <v>13.9147</v>
      </c>
      <c r="L62" s="9" t="n">
        <v>45.0808</v>
      </c>
      <c r="M62" s="9" t="n">
        <v>1.0391</v>
      </c>
      <c r="N62" s="9" t="n">
        <v>1.4355</v>
      </c>
      <c r="O62" s="9" t="n">
        <v>18.5503</v>
      </c>
      <c r="P62" s="9" t="n">
        <v>19.0673</v>
      </c>
      <c r="Q62" s="9" t="n">
        <v>19.4297</v>
      </c>
      <c r="R62" s="9" t="n">
        <v>24.9018</v>
      </c>
      <c r="S62" s="9" t="n">
        <v>25.5958</v>
      </c>
      <c r="T62" s="9" t="n">
        <v>26.0822</v>
      </c>
      <c r="U62" s="9" t="n">
        <v>30</v>
      </c>
    </row>
    <row r="63">
      <c r="A63" s="10" t="n">
        <v>44105</v>
      </c>
      <c r="B63" s="11" t="n">
        <v>109.2135</v>
      </c>
      <c r="C63" s="11" t="n">
        <v>79.4686</v>
      </c>
      <c r="D63" s="11" t="n">
        <v>29.7449</v>
      </c>
      <c r="E63" s="11" t="n">
        <v>33.8815</v>
      </c>
      <c r="F63" s="11" t="n">
        <v>32.3884</v>
      </c>
      <c r="G63" s="11" t="n">
        <v>92.0198</v>
      </c>
      <c r="H63" s="11" t="n">
        <v>20.0969</v>
      </c>
      <c r="I63" s="11" t="n">
        <v>112.1167</v>
      </c>
      <c r="J63" s="11" t="n">
        <v>34.4285</v>
      </c>
      <c r="K63" s="11" t="n">
        <v>14.914</v>
      </c>
      <c r="L63" s="11" t="n">
        <v>49.3425</v>
      </c>
      <c r="M63" s="11" t="n">
        <v>1.0266</v>
      </c>
      <c r="N63" s="11" t="n">
        <v>1.4563</v>
      </c>
      <c r="O63" s="11" t="n">
        <v>18.4045</v>
      </c>
      <c r="P63" s="11" t="n">
        <v>18.9477</v>
      </c>
      <c r="Q63" s="11" t="n">
        <v>19.1129</v>
      </c>
      <c r="R63" s="11" t="n">
        <v>24.5561</v>
      </c>
      <c r="S63" s="11" t="n">
        <v>25.2809</v>
      </c>
      <c r="T63" s="11" t="n">
        <v>25.5013</v>
      </c>
      <c r="U63" s="11" t="n">
        <v>31</v>
      </c>
    </row>
    <row r="64">
      <c r="A64" s="8" t="n">
        <v>44136</v>
      </c>
      <c r="B64" s="9" t="n">
        <v>109.7095</v>
      </c>
      <c r="C64" s="9" t="n">
        <v>79.735</v>
      </c>
      <c r="D64" s="9" t="n">
        <v>29.9744</v>
      </c>
      <c r="E64" s="9" t="n">
        <v>34.0091</v>
      </c>
      <c r="F64" s="9" t="n">
        <v>32.3561</v>
      </c>
      <c r="G64" s="9" t="n">
        <v>89.0103</v>
      </c>
      <c r="H64" s="9" t="n">
        <v>21.9073</v>
      </c>
      <c r="I64" s="9" t="n">
        <v>110.9176</v>
      </c>
      <c r="J64" s="9" t="n">
        <v>33.2781</v>
      </c>
      <c r="K64" s="9" t="n">
        <v>12.7699</v>
      </c>
      <c r="L64" s="9" t="n">
        <v>46.048</v>
      </c>
      <c r="M64" s="9" t="n">
        <v>1.011</v>
      </c>
      <c r="N64" s="9" t="n">
        <v>1.354</v>
      </c>
      <c r="O64" s="9" t="n">
        <v>17.7533</v>
      </c>
      <c r="P64" s="9" t="n">
        <v>18.385</v>
      </c>
      <c r="Q64" s="9" t="n">
        <v>18.8313</v>
      </c>
      <c r="R64" s="9" t="n">
        <v>23.6694</v>
      </c>
      <c r="S64" s="9" t="n">
        <v>24.5116</v>
      </c>
      <c r="T64" s="9" t="n">
        <v>25.1067</v>
      </c>
      <c r="U64" s="9" t="n">
        <v>30</v>
      </c>
    </row>
    <row r="65">
      <c r="A65" s="10" t="n">
        <v>44166</v>
      </c>
      <c r="B65" s="11" t="n">
        <v>116.5227</v>
      </c>
      <c r="C65" s="11" t="n">
        <v>84.3201</v>
      </c>
      <c r="D65" s="11" t="n">
        <v>32.2027</v>
      </c>
      <c r="E65" s="11" t="n">
        <v>32.8851</v>
      </c>
      <c r="F65" s="11" t="n">
        <v>31.3611</v>
      </c>
      <c r="G65" s="11" t="n">
        <v>96.6058</v>
      </c>
      <c r="H65" s="11" t="n">
        <v>23.4416</v>
      </c>
      <c r="I65" s="11" t="n">
        <v>120.0473</v>
      </c>
      <c r="J65" s="11" t="n">
        <v>33.1551</v>
      </c>
      <c r="K65" s="11" t="n">
        <v>15.0874</v>
      </c>
      <c r="L65" s="11" t="n">
        <v>48.2425</v>
      </c>
      <c r="M65" s="11" t="n">
        <v>1.0302</v>
      </c>
      <c r="N65" s="11" t="n">
        <v>1.467</v>
      </c>
      <c r="O65" s="11" t="n">
        <v>17.9274</v>
      </c>
      <c r="P65" s="11" t="n">
        <v>18.519</v>
      </c>
      <c r="Q65" s="11" t="n">
        <v>19.1642</v>
      </c>
      <c r="R65" s="11" t="n">
        <v>23.8107</v>
      </c>
      <c r="S65" s="11" t="n">
        <v>24.5965</v>
      </c>
      <c r="T65" s="11" t="n">
        <v>25.4534</v>
      </c>
      <c r="U65" s="11" t="n">
        <v>31</v>
      </c>
    </row>
    <row r="66">
      <c r="A66" s="8" t="n">
        <v>44197</v>
      </c>
      <c r="B66" s="9" t="n">
        <v>104.1174</v>
      </c>
      <c r="C66" s="9" t="n">
        <v>76.19450000000001</v>
      </c>
      <c r="D66" s="9" t="n">
        <v>27.9229</v>
      </c>
      <c r="E66" s="9" t="n">
        <v>31.2167</v>
      </c>
      <c r="F66" s="9" t="n">
        <v>29.6904</v>
      </c>
      <c r="G66" s="9" t="n">
        <v>80.56789999999999</v>
      </c>
      <c r="H66" s="9" t="n">
        <v>20.6351</v>
      </c>
      <c r="I66" s="9" t="n">
        <v>101.203</v>
      </c>
      <c r="J66" s="9" t="n">
        <v>28.2687</v>
      </c>
      <c r="K66" s="9" t="n">
        <v>14.2904</v>
      </c>
      <c r="L66" s="9" t="n">
        <v>42.5592</v>
      </c>
      <c r="M66" s="9" t="n">
        <v>0.972</v>
      </c>
      <c r="N66" s="9" t="n">
        <v>1.3633</v>
      </c>
      <c r="O66" s="9" t="n">
        <v>18.9203</v>
      </c>
      <c r="P66" s="9" t="n">
        <v>19.4374</v>
      </c>
      <c r="Q66" s="9" t="n">
        <v>19.8581</v>
      </c>
      <c r="R66" s="9" t="n">
        <v>24.9154</v>
      </c>
      <c r="S66" s="9" t="n">
        <v>25.5963</v>
      </c>
      <c r="T66" s="9" t="n">
        <v>26.1503</v>
      </c>
      <c r="U66" s="9" t="n">
        <v>31</v>
      </c>
    </row>
    <row r="67">
      <c r="A67" s="10" t="n">
        <v>44228</v>
      </c>
      <c r="B67" s="11" t="n">
        <v>107.9759</v>
      </c>
      <c r="C67" s="11" t="n">
        <v>79.7959</v>
      </c>
      <c r="D67" s="11" t="n">
        <v>28.18</v>
      </c>
      <c r="E67" s="11" t="n">
        <v>33.1421</v>
      </c>
      <c r="F67" s="11" t="n">
        <v>31.5222</v>
      </c>
      <c r="G67" s="11" t="n">
        <v>83.0194</v>
      </c>
      <c r="H67" s="11" t="n">
        <v>19.6758</v>
      </c>
      <c r="I67" s="11" t="n">
        <v>102.6951</v>
      </c>
      <c r="J67" s="11" t="n">
        <v>30.2014</v>
      </c>
      <c r="K67" s="11" t="n">
        <v>11.3022</v>
      </c>
      <c r="L67" s="11" t="n">
        <v>41.5036</v>
      </c>
      <c r="M67" s="11" t="n">
        <v>0.9510999999999999</v>
      </c>
      <c r="N67" s="11" t="n">
        <v>1.2523</v>
      </c>
      <c r="O67" s="11" t="n">
        <v>19.7393</v>
      </c>
      <c r="P67" s="11" t="n">
        <v>20.4104</v>
      </c>
      <c r="Q67" s="11" t="n">
        <v>20.7293</v>
      </c>
      <c r="R67" s="11" t="n">
        <v>25.8305</v>
      </c>
      <c r="S67" s="11" t="n">
        <v>26.7086</v>
      </c>
      <c r="T67" s="11" t="n">
        <v>27.126</v>
      </c>
      <c r="U67" s="11" t="n">
        <v>28</v>
      </c>
    </row>
    <row r="68">
      <c r="A68" s="8" t="n">
        <v>44256</v>
      </c>
      <c r="B68" s="9" t="n">
        <v>114.5979</v>
      </c>
      <c r="C68" s="9" t="n">
        <v>89.10550000000001</v>
      </c>
      <c r="D68" s="9" t="n">
        <v>25.4923</v>
      </c>
      <c r="E68" s="9" t="n">
        <v>36.0429</v>
      </c>
      <c r="F68" s="9" t="n">
        <v>34.3257</v>
      </c>
      <c r="G68" s="9" t="n">
        <v>93.70869999999999</v>
      </c>
      <c r="H68" s="9" t="n">
        <v>25.195</v>
      </c>
      <c r="I68" s="9" t="n">
        <v>118.9037</v>
      </c>
      <c r="J68" s="9" t="n">
        <v>36.9987</v>
      </c>
      <c r="K68" s="9" t="n">
        <v>17.3357</v>
      </c>
      <c r="L68" s="9" t="n">
        <v>54.3344</v>
      </c>
      <c r="M68" s="9" t="n">
        <v>1.0376</v>
      </c>
      <c r="N68" s="9" t="n">
        <v>1.5075</v>
      </c>
      <c r="O68" s="9" t="n">
        <v>20.0987</v>
      </c>
      <c r="P68" s="9" t="n">
        <v>21.5803</v>
      </c>
      <c r="Q68" s="9" t="n">
        <v>21.4235</v>
      </c>
      <c r="R68" s="9" t="n">
        <v>26.0852</v>
      </c>
      <c r="S68" s="9" t="n">
        <v>28.0081</v>
      </c>
      <c r="T68" s="9" t="n">
        <v>27.8046</v>
      </c>
      <c r="U68" s="9" t="n">
        <v>31</v>
      </c>
    </row>
    <row r="69">
      <c r="A69" s="10" t="n">
        <v>44287</v>
      </c>
      <c r="B69" s="11" t="n">
        <v>114.9671</v>
      </c>
      <c r="C69" s="11" t="n">
        <v>90.8111</v>
      </c>
      <c r="D69" s="11" t="n">
        <v>24.156</v>
      </c>
      <c r="E69" s="11" t="n">
        <v>34.6875</v>
      </c>
      <c r="F69" s="11" t="n">
        <v>33.0011</v>
      </c>
      <c r="G69" s="11" t="n">
        <v>90.11020000000001</v>
      </c>
      <c r="H69" s="11" t="n">
        <v>27.8317</v>
      </c>
      <c r="I69" s="11" t="n">
        <v>117.9419</v>
      </c>
      <c r="J69" s="11" t="n">
        <v>34.7074</v>
      </c>
      <c r="K69" s="11" t="n">
        <v>17.857</v>
      </c>
      <c r="L69" s="11" t="n">
        <v>52.5644</v>
      </c>
      <c r="M69" s="11" t="n">
        <v>1.0259</v>
      </c>
      <c r="N69" s="11" t="n">
        <v>1.5154</v>
      </c>
      <c r="O69" s="11" t="n">
        <v>20.1877</v>
      </c>
      <c r="P69" s="11" t="n">
        <v>21.8703</v>
      </c>
      <c r="Q69" s="11" t="n">
        <v>21.5533</v>
      </c>
      <c r="R69" s="11" t="n">
        <v>26.1151</v>
      </c>
      <c r="S69" s="11" t="n">
        <v>28.2919</v>
      </c>
      <c r="T69" s="11" t="n">
        <v>27.8818</v>
      </c>
      <c r="U69" s="11" t="n">
        <v>30</v>
      </c>
    </row>
    <row r="70">
      <c r="A70" s="8" t="n">
        <v>44317</v>
      </c>
      <c r="B70" s="9" t="n">
        <v>119.4982</v>
      </c>
      <c r="C70" s="9" t="n">
        <v>95.22150000000001</v>
      </c>
      <c r="D70" s="9" t="n">
        <v>24.2768</v>
      </c>
      <c r="E70" s="9" t="n">
        <v>35.3476</v>
      </c>
      <c r="F70" s="9" t="n">
        <v>33.4844</v>
      </c>
      <c r="G70" s="9" t="n">
        <v>90.6538</v>
      </c>
      <c r="H70" s="9" t="n">
        <v>26.7588</v>
      </c>
      <c r="I70" s="9" t="n">
        <v>117.4126</v>
      </c>
      <c r="J70" s="9" t="n">
        <v>33.4117</v>
      </c>
      <c r="K70" s="9" t="n">
        <v>19.4268</v>
      </c>
      <c r="L70" s="9" t="n">
        <v>52.8385</v>
      </c>
      <c r="M70" s="9" t="n">
        <v>0.9825</v>
      </c>
      <c r="N70" s="9" t="n">
        <v>1.4948</v>
      </c>
      <c r="O70" s="9" t="n">
        <v>20.2519</v>
      </c>
      <c r="P70" s="9" t="n">
        <v>22.0342</v>
      </c>
      <c r="Q70" s="9" t="n">
        <v>21.6926</v>
      </c>
      <c r="R70" s="9" t="n">
        <v>26.1449</v>
      </c>
      <c r="S70" s="9" t="n">
        <v>28.4458</v>
      </c>
      <c r="T70" s="9" t="n">
        <v>28.0047</v>
      </c>
      <c r="U70" s="9" t="n">
        <v>31</v>
      </c>
    </row>
    <row r="71">
      <c r="A71" s="10" t="n">
        <v>44348</v>
      </c>
      <c r="B71" s="11" t="n">
        <v>118.5643</v>
      </c>
      <c r="C71" s="11" t="n">
        <v>95.0719</v>
      </c>
      <c r="D71" s="11" t="n">
        <v>23.4924</v>
      </c>
      <c r="E71" s="11" t="n">
        <v>35.2105</v>
      </c>
      <c r="F71" s="11" t="n">
        <v>33.2866</v>
      </c>
      <c r="G71" s="11" t="n">
        <v>91.5878</v>
      </c>
      <c r="H71" s="11" t="n">
        <v>32.6003</v>
      </c>
      <c r="I71" s="11" t="n">
        <v>124.1882</v>
      </c>
      <c r="J71" s="11" t="n">
        <v>32.8328</v>
      </c>
      <c r="K71" s="11" t="n">
        <v>17.4072</v>
      </c>
      <c r="L71" s="11" t="n">
        <v>50.24</v>
      </c>
      <c r="M71" s="11" t="n">
        <v>1.0474</v>
      </c>
      <c r="N71" s="11" t="n">
        <v>1.4268</v>
      </c>
      <c r="O71" s="11" t="n">
        <v>20.2777</v>
      </c>
      <c r="P71" s="11" t="n">
        <v>22.1123</v>
      </c>
      <c r="Q71" s="11" t="n">
        <v>21.737</v>
      </c>
      <c r="R71" s="11" t="n">
        <v>26.0394</v>
      </c>
      <c r="S71" s="11" t="n">
        <v>28.3953</v>
      </c>
      <c r="T71" s="11" t="n">
        <v>27.9134</v>
      </c>
      <c r="U71" s="11" t="n">
        <v>30</v>
      </c>
    </row>
    <row r="72">
      <c r="A72" s="8" t="n">
        <v>44378</v>
      </c>
      <c r="B72" s="9" t="n">
        <v>120.1255</v>
      </c>
      <c r="C72" s="9" t="n">
        <v>96.5317</v>
      </c>
      <c r="D72" s="9" t="n">
        <v>23.5938</v>
      </c>
      <c r="E72" s="9" t="n">
        <v>34.0764</v>
      </c>
      <c r="F72" s="9" t="n">
        <v>32.267</v>
      </c>
      <c r="G72" s="9" t="n">
        <v>91.6078</v>
      </c>
      <c r="H72" s="9" t="n">
        <v>32.1232</v>
      </c>
      <c r="I72" s="9" t="n">
        <v>123.7311</v>
      </c>
      <c r="J72" s="9" t="n">
        <v>31.3121</v>
      </c>
      <c r="K72" s="9" t="n">
        <v>17.409</v>
      </c>
      <c r="L72" s="9" t="n">
        <v>48.721</v>
      </c>
      <c r="M72" s="9" t="n">
        <v>1.03</v>
      </c>
      <c r="N72" s="9" t="n">
        <v>1.4298</v>
      </c>
      <c r="O72" s="9" t="n">
        <v>20.2806</v>
      </c>
      <c r="P72" s="9" t="n">
        <v>22.2065</v>
      </c>
      <c r="Q72" s="9" t="n">
        <v>21.7316</v>
      </c>
      <c r="R72" s="9" t="n">
        <v>25.8911</v>
      </c>
      <c r="S72" s="9" t="n">
        <v>28.3496</v>
      </c>
      <c r="T72" s="9" t="n">
        <v>27.7434</v>
      </c>
      <c r="U72" s="9" t="n">
        <v>31</v>
      </c>
    </row>
    <row r="73">
      <c r="A73" s="10" t="n">
        <v>44409</v>
      </c>
      <c r="B73" s="11" t="n">
        <v>115.6776</v>
      </c>
      <c r="C73" s="11" t="n">
        <v>93.5476</v>
      </c>
      <c r="D73" s="11" t="n">
        <v>22.13</v>
      </c>
      <c r="E73" s="11" t="n">
        <v>32.3839</v>
      </c>
      <c r="F73" s="11" t="n">
        <v>30.6903</v>
      </c>
      <c r="G73" s="11" t="n">
        <v>87.4126</v>
      </c>
      <c r="H73" s="11" t="n">
        <v>30.1809</v>
      </c>
      <c r="I73" s="11" t="n">
        <v>117.5935</v>
      </c>
      <c r="J73" s="11" t="n">
        <v>30.7617</v>
      </c>
      <c r="K73" s="11" t="n">
        <v>16.2733</v>
      </c>
      <c r="L73" s="11" t="n">
        <v>47.035</v>
      </c>
      <c r="M73" s="11" t="n">
        <v>1.0166</v>
      </c>
      <c r="N73" s="11" t="n">
        <v>1.4524</v>
      </c>
      <c r="O73" s="11" t="n">
        <v>20.2955</v>
      </c>
      <c r="P73" s="11" t="n">
        <v>22.2855</v>
      </c>
      <c r="Q73" s="11" t="n">
        <v>21.7823</v>
      </c>
      <c r="R73" s="11" t="n">
        <v>25.8607</v>
      </c>
      <c r="S73" s="11" t="n">
        <v>28.3963</v>
      </c>
      <c r="T73" s="11" t="n">
        <v>27.7551</v>
      </c>
      <c r="U73" s="11" t="n">
        <v>31</v>
      </c>
    </row>
    <row r="74">
      <c r="A74" s="8" t="n">
        <v>44440</v>
      </c>
      <c r="B74" s="9" t="n">
        <v>117.0811</v>
      </c>
      <c r="C74" s="9" t="n">
        <v>94.9842</v>
      </c>
      <c r="D74" s="9" t="n">
        <v>22.0969</v>
      </c>
      <c r="E74" s="9" t="n">
        <v>31.9289</v>
      </c>
      <c r="F74" s="9" t="n">
        <v>30.2354</v>
      </c>
      <c r="G74" s="9" t="n">
        <v>87.82080000000001</v>
      </c>
      <c r="H74" s="9" t="n">
        <v>26.407</v>
      </c>
      <c r="I74" s="9" t="n">
        <v>114.2278</v>
      </c>
      <c r="J74" s="9" t="n">
        <v>30.0418</v>
      </c>
      <c r="K74" s="9" t="n">
        <v>12.6131</v>
      </c>
      <c r="L74" s="9" t="n">
        <v>42.6549</v>
      </c>
      <c r="M74" s="9" t="n">
        <v>0.9756</v>
      </c>
      <c r="N74" s="9" t="n">
        <v>1.3359</v>
      </c>
      <c r="O74" s="9" t="n">
        <v>20.2217</v>
      </c>
      <c r="P74" s="9" t="n">
        <v>22.3187</v>
      </c>
      <c r="Q74" s="9" t="n">
        <v>21.7467</v>
      </c>
      <c r="R74" s="9" t="n">
        <v>25.6088</v>
      </c>
      <c r="S74" s="9" t="n">
        <v>28.2644</v>
      </c>
      <c r="T74" s="9" t="n">
        <v>27.54</v>
      </c>
      <c r="U74" s="9" t="n">
        <v>30</v>
      </c>
    </row>
    <row r="75">
      <c r="A75" s="10" t="n">
        <v>44470</v>
      </c>
      <c r="B75" s="11" t="n">
        <v>121.0874</v>
      </c>
      <c r="C75" s="11" t="n">
        <v>98.19110000000001</v>
      </c>
      <c r="D75" s="11" t="n">
        <v>22.8963</v>
      </c>
      <c r="E75" s="11" t="n">
        <v>33.7565</v>
      </c>
      <c r="F75" s="11" t="n">
        <v>31.9853</v>
      </c>
      <c r="G75" s="11" t="n">
        <v>91.131</v>
      </c>
      <c r="H75" s="11" t="n">
        <v>25.8478</v>
      </c>
      <c r="I75" s="11" t="n">
        <v>116.9789</v>
      </c>
      <c r="J75" s="11" t="n">
        <v>32.2862</v>
      </c>
      <c r="K75" s="11" t="n">
        <v>12.7109</v>
      </c>
      <c r="L75" s="11" t="n">
        <v>44.9971</v>
      </c>
      <c r="M75" s="11" t="n">
        <v>0.9661</v>
      </c>
      <c r="N75" s="11" t="n">
        <v>1.333</v>
      </c>
      <c r="O75" s="11" t="n">
        <v>20.1645</v>
      </c>
      <c r="P75" s="11" t="n">
        <v>22.329</v>
      </c>
      <c r="Q75" s="11" t="n">
        <v>21.7219</v>
      </c>
      <c r="R75" s="11" t="n">
        <v>25.3243</v>
      </c>
      <c r="S75" s="11" t="n">
        <v>28.0426</v>
      </c>
      <c r="T75" s="11" t="n">
        <v>27.2802</v>
      </c>
      <c r="U75" s="11" t="n">
        <v>31</v>
      </c>
    </row>
    <row r="76">
      <c r="A76" s="8" t="n">
        <v>44501</v>
      </c>
      <c r="B76" s="9" t="n">
        <v>121.1826</v>
      </c>
      <c r="C76" s="9" t="n">
        <v>98.3075</v>
      </c>
      <c r="D76" s="9" t="n">
        <v>22.875</v>
      </c>
      <c r="E76" s="9" t="n">
        <v>35.5007</v>
      </c>
      <c r="F76" s="9" t="n">
        <v>33.6604</v>
      </c>
      <c r="G76" s="9" t="n">
        <v>100.4917</v>
      </c>
      <c r="H76" s="9" t="n">
        <v>22.7361</v>
      </c>
      <c r="I76" s="9" t="n">
        <v>123.2279</v>
      </c>
      <c r="J76" s="9" t="n">
        <v>36.5006</v>
      </c>
      <c r="K76" s="9" t="n">
        <v>12.2326</v>
      </c>
      <c r="L76" s="9" t="n">
        <v>48.7333</v>
      </c>
      <c r="M76" s="9" t="n">
        <v>1.0169</v>
      </c>
      <c r="N76" s="9" t="n">
        <v>1.3727</v>
      </c>
      <c r="O76" s="9" t="n">
        <v>20.1033</v>
      </c>
      <c r="P76" s="9" t="n">
        <v>22.3253</v>
      </c>
      <c r="Q76" s="9" t="n">
        <v>21.6633</v>
      </c>
      <c r="R76" s="9" t="n">
        <v>24.9616</v>
      </c>
      <c r="S76" s="9" t="n">
        <v>27.7206</v>
      </c>
      <c r="T76" s="9" t="n">
        <v>26.8986</v>
      </c>
      <c r="U76" s="9" t="n">
        <v>30</v>
      </c>
    </row>
    <row r="77">
      <c r="A77" s="10" t="n">
        <v>44531</v>
      </c>
      <c r="B77" s="11" t="n">
        <v>129.4005</v>
      </c>
      <c r="C77" s="11" t="n">
        <v>104.7062</v>
      </c>
      <c r="D77" s="11" t="n">
        <v>24.6943</v>
      </c>
      <c r="E77" s="11" t="n">
        <v>34.2781</v>
      </c>
      <c r="F77" s="11" t="n">
        <v>32.4759</v>
      </c>
      <c r="G77" s="11" t="n">
        <v>108.9478</v>
      </c>
      <c r="H77" s="11" t="n">
        <v>23.3718</v>
      </c>
      <c r="I77" s="11" t="n">
        <v>132.3196</v>
      </c>
      <c r="J77" s="11" t="n">
        <v>35.617</v>
      </c>
      <c r="K77" s="11" t="n">
        <v>12.7347</v>
      </c>
      <c r="L77" s="11" t="n">
        <v>48.3517</v>
      </c>
      <c r="M77" s="11" t="n">
        <v>1.0226</v>
      </c>
      <c r="N77" s="11" t="n">
        <v>1.4106</v>
      </c>
      <c r="O77" s="11" t="n">
        <v>20.2842</v>
      </c>
      <c r="P77" s="11" t="n">
        <v>22.4487</v>
      </c>
      <c r="Q77" s="11" t="n">
        <v>21.81</v>
      </c>
      <c r="R77" s="11" t="n">
        <v>25.0952</v>
      </c>
      <c r="S77" s="11" t="n">
        <v>27.7731</v>
      </c>
      <c r="T77" s="11" t="n">
        <v>26.9829</v>
      </c>
      <c r="U77" s="11" t="n">
        <v>31</v>
      </c>
    </row>
    <row r="78">
      <c r="A78" s="8" t="n">
        <v>44562</v>
      </c>
      <c r="B78" s="9" t="n">
        <v>111.9276</v>
      </c>
      <c r="C78" s="9" t="n">
        <v>91.428</v>
      </c>
      <c r="D78" s="9" t="n">
        <v>20.4996</v>
      </c>
      <c r="E78" s="9" t="n">
        <v>32.3363</v>
      </c>
      <c r="F78" s="9" t="n">
        <v>30.6941</v>
      </c>
      <c r="G78" s="9" t="n">
        <v>89.9436</v>
      </c>
      <c r="H78" s="9" t="n">
        <v>20.6044</v>
      </c>
      <c r="I78" s="9" t="n">
        <v>110.548</v>
      </c>
      <c r="J78" s="9" t="n">
        <v>30.7558</v>
      </c>
      <c r="K78" s="9" t="n">
        <v>12.1555</v>
      </c>
      <c r="L78" s="9" t="n">
        <v>42.9113</v>
      </c>
      <c r="M78" s="9" t="n">
        <v>0.9877</v>
      </c>
      <c r="N78" s="9" t="n">
        <v>1.327</v>
      </c>
      <c r="O78" s="9" t="n">
        <v>20.6568</v>
      </c>
      <c r="P78" s="9" t="n">
        <v>22.7374</v>
      </c>
      <c r="Q78" s="9" t="n">
        <v>22.1519</v>
      </c>
      <c r="R78" s="9" t="n">
        <v>25.4058</v>
      </c>
      <c r="S78" s="9" t="n">
        <v>27.9648</v>
      </c>
      <c r="T78" s="9" t="n">
        <v>27.2447</v>
      </c>
      <c r="U78" s="9" t="n">
        <v>31</v>
      </c>
    </row>
    <row r="79">
      <c r="A79" s="10" t="n">
        <v>44593</v>
      </c>
      <c r="B79" s="11" t="n">
        <v>121.1304</v>
      </c>
      <c r="C79" s="11" t="n">
        <v>98.8976</v>
      </c>
      <c r="D79" s="11" t="n">
        <v>22.2329</v>
      </c>
      <c r="E79" s="11" t="n">
        <v>35.0724</v>
      </c>
      <c r="F79" s="11" t="n">
        <v>33.1926</v>
      </c>
      <c r="G79" s="11" t="n">
        <v>96.6152</v>
      </c>
      <c r="H79" s="11" t="n">
        <v>21.3951</v>
      </c>
      <c r="I79" s="11" t="n">
        <v>118.0102</v>
      </c>
      <c r="J79" s="11" t="n">
        <v>35.9081</v>
      </c>
      <c r="K79" s="11" t="n">
        <v>10.5502</v>
      </c>
      <c r="L79" s="11" t="n">
        <v>46.4583</v>
      </c>
      <c r="M79" s="11" t="n">
        <v>0.9742</v>
      </c>
      <c r="N79" s="11" t="n">
        <v>1.3246</v>
      </c>
      <c r="O79" s="11" t="n">
        <v>20.8536</v>
      </c>
      <c r="P79" s="11" t="n">
        <v>22.9382</v>
      </c>
      <c r="Q79" s="11" t="n">
        <v>22.3468</v>
      </c>
      <c r="R79" s="11" t="n">
        <v>25.4368</v>
      </c>
      <c r="S79" s="11" t="n">
        <v>27.9796</v>
      </c>
      <c r="T79" s="11" t="n">
        <v>27.2582</v>
      </c>
      <c r="U79" s="11" t="n">
        <v>28</v>
      </c>
    </row>
    <row r="80">
      <c r="A80" s="8" t="n">
        <v>44621</v>
      </c>
      <c r="B80" s="9" t="n">
        <v>127.2326</v>
      </c>
      <c r="C80" s="9" t="n">
        <v>103.8214</v>
      </c>
      <c r="D80" s="9" t="n">
        <v>23.4112</v>
      </c>
      <c r="E80" s="9" t="n">
        <v>39.2687</v>
      </c>
      <c r="F80" s="9" t="n">
        <v>37.322</v>
      </c>
      <c r="G80" s="9" t="n">
        <v>110.3162</v>
      </c>
      <c r="H80" s="9" t="n">
        <v>21.572</v>
      </c>
      <c r="I80" s="9" t="n">
        <v>131.8882</v>
      </c>
      <c r="J80" s="9" t="n">
        <v>47.8215</v>
      </c>
      <c r="K80" s="9" t="n">
        <v>10.8784</v>
      </c>
      <c r="L80" s="9" t="n">
        <v>58.6999</v>
      </c>
      <c r="M80" s="9" t="n">
        <v>1.0366</v>
      </c>
      <c r="N80" s="9" t="n">
        <v>1.4948</v>
      </c>
      <c r="O80" s="9" t="n">
        <v>21.2645</v>
      </c>
      <c r="P80" s="9" t="n">
        <v>23.2435</v>
      </c>
      <c r="Q80" s="9" t="n">
        <v>22.7274</v>
      </c>
      <c r="R80" s="9" t="n">
        <v>25.6838</v>
      </c>
      <c r="S80" s="9" t="n">
        <v>28.0741</v>
      </c>
      <c r="T80" s="9" t="n">
        <v>27.4507</v>
      </c>
      <c r="U80" s="9" t="n">
        <v>31</v>
      </c>
    </row>
    <row r="81">
      <c r="A81" s="10" t="n">
        <v>44652</v>
      </c>
      <c r="B81" s="11" t="n">
        <v>127.9456</v>
      </c>
      <c r="C81" s="11" t="n">
        <v>104.1986</v>
      </c>
      <c r="D81" s="11" t="n">
        <v>23.747</v>
      </c>
      <c r="E81" s="11" t="n">
        <v>40.4918</v>
      </c>
      <c r="F81" s="11" t="n">
        <v>38.5752</v>
      </c>
      <c r="G81" s="11" t="n">
        <v>111.3393</v>
      </c>
      <c r="H81" s="11" t="n">
        <v>15.9776</v>
      </c>
      <c r="I81" s="11" t="n">
        <v>127.3169</v>
      </c>
      <c r="J81" s="11" t="n">
        <v>51.3066</v>
      </c>
      <c r="K81" s="11" t="n">
        <v>11.59</v>
      </c>
      <c r="L81" s="11" t="n">
        <v>62.8966</v>
      </c>
      <c r="M81" s="11" t="n">
        <v>0.9951</v>
      </c>
      <c r="N81" s="11" t="n">
        <v>1.5533</v>
      </c>
      <c r="O81" s="11" t="n">
        <v>21.527</v>
      </c>
      <c r="P81" s="11" t="n">
        <v>23.514</v>
      </c>
      <c r="Q81" s="11" t="n">
        <v>23.1503</v>
      </c>
      <c r="R81" s="11" t="n">
        <v>25.8609</v>
      </c>
      <c r="S81" s="11" t="n">
        <v>28.248</v>
      </c>
      <c r="T81" s="11" t="n">
        <v>27.8111</v>
      </c>
      <c r="U81" s="11" t="n">
        <v>30</v>
      </c>
    </row>
    <row r="82">
      <c r="A82" s="8" t="n">
        <v>44682</v>
      </c>
      <c r="B82" s="9" t="n">
        <v>130.1149</v>
      </c>
      <c r="C82" s="9" t="n">
        <v>105.9899</v>
      </c>
      <c r="D82" s="9" t="n">
        <v>24.125</v>
      </c>
      <c r="E82" s="9" t="n">
        <v>42.2931</v>
      </c>
      <c r="F82" s="9" t="n">
        <v>40.3162</v>
      </c>
      <c r="G82" s="9" t="n">
        <v>112.7897</v>
      </c>
      <c r="H82" s="9" t="n">
        <v>17.5606</v>
      </c>
      <c r="I82" s="9" t="n">
        <v>130.3503</v>
      </c>
      <c r="J82" s="9" t="n">
        <v>54.3167</v>
      </c>
      <c r="K82" s="9" t="n">
        <v>14.4499</v>
      </c>
      <c r="L82" s="9" t="n">
        <v>68.7666</v>
      </c>
      <c r="M82" s="9" t="n">
        <v>1.0018</v>
      </c>
      <c r="N82" s="9" t="n">
        <v>1.626</v>
      </c>
      <c r="O82" s="9" t="n">
        <v>21.6413</v>
      </c>
      <c r="P82" s="9" t="n">
        <v>23.6668</v>
      </c>
      <c r="Q82" s="9" t="n">
        <v>23.3442</v>
      </c>
      <c r="R82" s="9" t="n">
        <v>25.9525</v>
      </c>
      <c r="S82" s="9" t="n">
        <v>28.3815</v>
      </c>
      <c r="T82" s="9" t="n">
        <v>27.9946</v>
      </c>
      <c r="U82" s="9" t="n">
        <v>31</v>
      </c>
    </row>
    <row r="83">
      <c r="A83" s="10" t="n">
        <v>44713</v>
      </c>
      <c r="B83" s="11" t="n">
        <v>128.9675</v>
      </c>
      <c r="C83" s="11" t="n">
        <v>105.3999</v>
      </c>
      <c r="D83" s="11" t="n">
        <v>23.5676</v>
      </c>
      <c r="E83" s="11" t="n">
        <v>41.8367</v>
      </c>
      <c r="F83" s="11" t="n">
        <v>39.9004</v>
      </c>
      <c r="G83" s="11" t="n">
        <v>114.7084</v>
      </c>
      <c r="H83" s="11" t="n">
        <v>19.8025</v>
      </c>
      <c r="I83" s="11" t="n">
        <v>134.5109</v>
      </c>
      <c r="J83" s="11" t="n">
        <v>55.9381</v>
      </c>
      <c r="K83" s="11" t="n">
        <v>16.1666</v>
      </c>
      <c r="L83" s="11" t="n">
        <v>72.10469999999999</v>
      </c>
      <c r="M83" s="11" t="n">
        <v>1.043</v>
      </c>
      <c r="N83" s="11" t="n">
        <v>1.7235</v>
      </c>
      <c r="O83" s="11" t="n">
        <v>21.804</v>
      </c>
      <c r="P83" s="11" t="n">
        <v>23.823</v>
      </c>
      <c r="Q83" s="11" t="n">
        <v>23.4207</v>
      </c>
      <c r="R83" s="11" t="n">
        <v>25.9287</v>
      </c>
      <c r="S83" s="11" t="n">
        <v>28.3296</v>
      </c>
      <c r="T83" s="11" t="n">
        <v>27.8511</v>
      </c>
      <c r="U83" s="11" t="n">
        <v>30</v>
      </c>
    </row>
    <row r="84">
      <c r="A84" s="8" t="n">
        <v>44743</v>
      </c>
      <c r="B84" s="9" t="n">
        <v>128.151</v>
      </c>
      <c r="C84" s="9" t="n">
        <v>104.8904</v>
      </c>
      <c r="D84" s="9" t="n">
        <v>23.2606</v>
      </c>
      <c r="E84" s="9" t="n">
        <v>38.9144</v>
      </c>
      <c r="F84" s="9" t="n">
        <v>37.1883</v>
      </c>
      <c r="G84" s="9" t="n">
        <v>111.4364</v>
      </c>
      <c r="H84" s="9" t="n">
        <v>21.7383</v>
      </c>
      <c r="I84" s="9" t="n">
        <v>133.1748</v>
      </c>
      <c r="J84" s="9" t="n">
        <v>54.0795</v>
      </c>
      <c r="K84" s="9" t="n">
        <v>15.8599</v>
      </c>
      <c r="L84" s="9" t="n">
        <v>69.9395</v>
      </c>
      <c r="M84" s="9" t="n">
        <v>1.0392</v>
      </c>
      <c r="N84" s="9" t="n">
        <v>1.7973</v>
      </c>
      <c r="O84" s="9" t="n">
        <v>21.8523</v>
      </c>
      <c r="P84" s="9" t="n">
        <v>23.9097</v>
      </c>
      <c r="Q84" s="9" t="n">
        <v>23.4952</v>
      </c>
      <c r="R84" s="9" t="n">
        <v>25.795</v>
      </c>
      <c r="S84" s="9" t="n">
        <v>28.2236</v>
      </c>
      <c r="T84" s="9" t="n">
        <v>27.7343</v>
      </c>
      <c r="U84" s="9" t="n">
        <v>31</v>
      </c>
    </row>
    <row r="85">
      <c r="A85" s="10" t="n">
        <v>44774</v>
      </c>
      <c r="B85" s="11" t="n">
        <v>127.3582</v>
      </c>
      <c r="C85" s="11" t="n">
        <v>104.3042</v>
      </c>
      <c r="D85" s="11" t="n">
        <v>23.054</v>
      </c>
      <c r="E85" s="11" t="n">
        <v>38.6313</v>
      </c>
      <c r="F85" s="11" t="n">
        <v>36.9417</v>
      </c>
      <c r="G85" s="11" t="n">
        <v>108.2759</v>
      </c>
      <c r="H85" s="11" t="n">
        <v>21.6636</v>
      </c>
      <c r="I85" s="11" t="n">
        <v>129.9395</v>
      </c>
      <c r="J85" s="11" t="n">
        <v>51.0279</v>
      </c>
      <c r="K85" s="11" t="n">
        <v>15.8213</v>
      </c>
      <c r="L85" s="11" t="n">
        <v>66.8492</v>
      </c>
      <c r="M85" s="11" t="n">
        <v>1.0203</v>
      </c>
      <c r="N85" s="11" t="n">
        <v>1.7304</v>
      </c>
      <c r="O85" s="11" t="n">
        <v>21.8855</v>
      </c>
      <c r="P85" s="11" t="n">
        <v>23.9906</v>
      </c>
      <c r="Q85" s="11" t="n">
        <v>23.5706</v>
      </c>
      <c r="R85" s="11" t="n">
        <v>25.6558</v>
      </c>
      <c r="S85" s="11" t="n">
        <v>28.1236</v>
      </c>
      <c r="T85" s="11" t="n">
        <v>27.6312</v>
      </c>
      <c r="U85" s="11" t="n">
        <v>31</v>
      </c>
    </row>
    <row r="86">
      <c r="A86" s="8" t="n">
        <v>44805</v>
      </c>
      <c r="B86" s="9" t="n">
        <v>128.2303</v>
      </c>
      <c r="C86" s="9" t="n">
        <v>105.4293</v>
      </c>
      <c r="D86" s="9" t="n">
        <v>22.801</v>
      </c>
      <c r="E86" s="9" t="n">
        <v>37.6339</v>
      </c>
      <c r="F86" s="9" t="n">
        <v>35.9104</v>
      </c>
      <c r="G86" s="9" t="n">
        <v>107.3851</v>
      </c>
      <c r="H86" s="9" t="n">
        <v>21.9417</v>
      </c>
      <c r="I86" s="9" t="n">
        <v>129.3268</v>
      </c>
      <c r="J86" s="9" t="n">
        <v>50.0397</v>
      </c>
      <c r="K86" s="9" t="n">
        <v>16.0105</v>
      </c>
      <c r="L86" s="9" t="n">
        <v>66.0502</v>
      </c>
      <c r="M86" s="9" t="n">
        <v>1.0086</v>
      </c>
      <c r="N86" s="9" t="n">
        <v>1.7551</v>
      </c>
      <c r="O86" s="9" t="n">
        <v>21.7413</v>
      </c>
      <c r="P86" s="9" t="n">
        <v>23.9987</v>
      </c>
      <c r="Q86" s="9" t="n">
        <v>23.623</v>
      </c>
      <c r="R86" s="9" t="n">
        <v>25.3297</v>
      </c>
      <c r="S86" s="9" t="n">
        <v>27.9596</v>
      </c>
      <c r="T86" s="9" t="n">
        <v>27.5219</v>
      </c>
      <c r="U86" s="9" t="n">
        <v>30</v>
      </c>
    </row>
    <row r="87">
      <c r="A87" s="10" t="n">
        <v>44835</v>
      </c>
      <c r="B87" s="11" t="n">
        <v>129.7336</v>
      </c>
      <c r="C87" s="11" t="n">
        <v>106.8851</v>
      </c>
      <c r="D87" s="11" t="n">
        <v>22.8485</v>
      </c>
      <c r="E87" s="11" t="n">
        <v>39.2781</v>
      </c>
      <c r="F87" s="11" t="n">
        <v>37.467</v>
      </c>
      <c r="G87" s="11" t="n">
        <v>103.0446</v>
      </c>
      <c r="H87" s="11" t="n">
        <v>17.1026</v>
      </c>
      <c r="I87" s="11" t="n">
        <v>120.1472</v>
      </c>
      <c r="J87" s="11" t="n">
        <v>50.8158</v>
      </c>
      <c r="K87" s="11" t="n">
        <v>14.4448</v>
      </c>
      <c r="L87" s="11" t="n">
        <v>65.2606</v>
      </c>
      <c r="M87" s="11" t="n">
        <v>0.9261</v>
      </c>
      <c r="N87" s="11" t="n">
        <v>1.6615</v>
      </c>
      <c r="O87" s="11" t="n">
        <v>21.9035</v>
      </c>
      <c r="P87" s="11" t="n">
        <v>24.1374</v>
      </c>
      <c r="Q87" s="11" t="n">
        <v>23.7</v>
      </c>
      <c r="R87" s="11" t="n">
        <v>25.375</v>
      </c>
      <c r="S87" s="11" t="n">
        <v>27.963</v>
      </c>
      <c r="T87" s="11" t="n">
        <v>27.4562</v>
      </c>
      <c r="U87" s="11" t="n">
        <v>31</v>
      </c>
    </row>
    <row r="88">
      <c r="A88" s="8" t="n">
        <v>44866</v>
      </c>
      <c r="B88" s="9" t="n">
        <v>128.3533</v>
      </c>
      <c r="C88" s="9" t="n">
        <v>105.6419</v>
      </c>
      <c r="D88" s="9" t="n">
        <v>22.7114</v>
      </c>
      <c r="E88" s="9" t="n">
        <v>40.6248</v>
      </c>
      <c r="F88" s="9" t="n">
        <v>38.5959</v>
      </c>
      <c r="G88" s="9" t="n">
        <v>106.8705</v>
      </c>
      <c r="H88" s="9" t="n">
        <v>23.9351</v>
      </c>
      <c r="I88" s="9" t="n">
        <v>130.8055</v>
      </c>
      <c r="J88" s="9" t="n">
        <v>50.1704</v>
      </c>
      <c r="K88" s="9" t="n">
        <v>16.6964</v>
      </c>
      <c r="L88" s="9" t="n">
        <v>66.86669999999999</v>
      </c>
      <c r="M88" s="9" t="n">
        <v>1.0191</v>
      </c>
      <c r="N88" s="9" t="n">
        <v>1.646</v>
      </c>
      <c r="O88" s="9" t="n">
        <v>21.8107</v>
      </c>
      <c r="P88" s="9" t="n">
        <v>24.1183</v>
      </c>
      <c r="Q88" s="9" t="n">
        <v>23.736</v>
      </c>
      <c r="R88" s="9" t="n">
        <v>25.1229</v>
      </c>
      <c r="S88" s="9" t="n">
        <v>27.781</v>
      </c>
      <c r="T88" s="9" t="n">
        <v>27.3406</v>
      </c>
      <c r="U88" s="9" t="n">
        <v>30</v>
      </c>
    </row>
    <row r="89">
      <c r="A89" s="10" t="n">
        <v>44896</v>
      </c>
      <c r="B89" s="11" t="n">
        <v>132.8802</v>
      </c>
      <c r="C89" s="11" t="n">
        <v>108.9429</v>
      </c>
      <c r="D89" s="11" t="n">
        <v>23.9373</v>
      </c>
      <c r="E89" s="11" t="n">
        <v>38.2916</v>
      </c>
      <c r="F89" s="11" t="n">
        <v>35.8478</v>
      </c>
      <c r="G89" s="11" t="n">
        <v>106.9946</v>
      </c>
      <c r="H89" s="11" t="n">
        <v>23.5818</v>
      </c>
      <c r="I89" s="11" t="n">
        <v>130.5764</v>
      </c>
      <c r="J89" s="11" t="n">
        <v>47.4501</v>
      </c>
      <c r="K89" s="11" t="n">
        <v>19.7694</v>
      </c>
      <c r="L89" s="11" t="n">
        <v>67.2195</v>
      </c>
      <c r="M89" s="11" t="n">
        <v>0.9827</v>
      </c>
      <c r="N89" s="11" t="n">
        <v>1.7555</v>
      </c>
      <c r="O89" s="11" t="n">
        <v>21.5665</v>
      </c>
      <c r="P89" s="11" t="n">
        <v>23.9377</v>
      </c>
      <c r="Q89" s="11" t="n">
        <v>23.6897</v>
      </c>
      <c r="R89" s="11" t="n">
        <v>24.7471</v>
      </c>
      <c r="S89" s="11" t="n">
        <v>27.4681</v>
      </c>
      <c r="T89" s="11" t="n">
        <v>27.1834</v>
      </c>
      <c r="U89" s="11" t="n">
        <v>31</v>
      </c>
    </row>
    <row r="90">
      <c r="A90" s="8" t="n">
        <v>44927</v>
      </c>
      <c r="B90" s="9" t="n">
        <v>125.9756</v>
      </c>
      <c r="C90" s="9" t="n">
        <v>103.3689</v>
      </c>
      <c r="D90" s="9" t="n">
        <v>22.6067</v>
      </c>
      <c r="E90" s="9" t="n">
        <v>38.567</v>
      </c>
      <c r="F90" s="9" t="n">
        <v>35.981</v>
      </c>
      <c r="G90" s="9" t="n">
        <v>99.4119</v>
      </c>
      <c r="H90" s="9" t="n">
        <v>21.2016</v>
      </c>
      <c r="I90" s="9" t="n">
        <v>120.6135</v>
      </c>
      <c r="J90" s="9" t="n">
        <v>43.5907</v>
      </c>
      <c r="K90" s="9" t="n">
        <v>14.4375</v>
      </c>
      <c r="L90" s="9" t="n">
        <v>58.0281</v>
      </c>
      <c r="M90" s="9" t="n">
        <v>0.9574</v>
      </c>
      <c r="N90" s="9" t="n">
        <v>1.5046</v>
      </c>
      <c r="O90" s="9" t="n">
        <v>21.7652</v>
      </c>
      <c r="P90" s="9" t="n">
        <v>24.0513</v>
      </c>
      <c r="Q90" s="9" t="n">
        <v>23.7468</v>
      </c>
      <c r="R90" s="9" t="n">
        <v>24.8068</v>
      </c>
      <c r="S90" s="9" t="n">
        <v>27.4124</v>
      </c>
      <c r="T90" s="9" t="n">
        <v>27.0653</v>
      </c>
      <c r="U90" s="9" t="n">
        <v>31</v>
      </c>
    </row>
    <row r="91">
      <c r="A91" s="10" t="n">
        <v>44958</v>
      </c>
      <c r="B91" s="11" t="n">
        <v>129.4066</v>
      </c>
      <c r="C91" s="11" t="n">
        <v>106.2513</v>
      </c>
      <c r="D91" s="11" t="n">
        <v>23.1553</v>
      </c>
      <c r="E91" s="11" t="n">
        <v>39.6924</v>
      </c>
      <c r="F91" s="11" t="n">
        <v>37.0465</v>
      </c>
      <c r="G91" s="11" t="n">
        <v>102.0247</v>
      </c>
      <c r="H91" s="11" t="n">
        <v>19.8443</v>
      </c>
      <c r="I91" s="11" t="n">
        <v>121.869</v>
      </c>
      <c r="J91" s="11" t="n">
        <v>45.9615</v>
      </c>
      <c r="K91" s="11" t="n">
        <v>14.9275</v>
      </c>
      <c r="L91" s="11" t="n">
        <v>60.889</v>
      </c>
      <c r="M91" s="11" t="n">
        <v>0.9418</v>
      </c>
      <c r="N91" s="11" t="n">
        <v>1.534</v>
      </c>
      <c r="O91" s="11" t="n">
        <v>21.8236</v>
      </c>
      <c r="P91" s="11" t="n">
        <v>24.0943</v>
      </c>
      <c r="Q91" s="11" t="n">
        <v>23.6714</v>
      </c>
      <c r="R91" s="11" t="n">
        <v>24.7355</v>
      </c>
      <c r="S91" s="11" t="n">
        <v>27.3092</v>
      </c>
      <c r="T91" s="11" t="n">
        <v>26.8299</v>
      </c>
      <c r="U91" s="11" t="n">
        <v>28</v>
      </c>
    </row>
    <row r="92">
      <c r="A92" s="8" t="n">
        <v>44986</v>
      </c>
      <c r="B92" s="9" t="n">
        <v>129.5783</v>
      </c>
      <c r="C92" s="9" t="n">
        <v>106.1889</v>
      </c>
      <c r="D92" s="9" t="n">
        <v>23.3894</v>
      </c>
      <c r="E92" s="9" t="n">
        <v>40.6928</v>
      </c>
      <c r="F92" s="9" t="n">
        <v>37.8916</v>
      </c>
      <c r="G92" s="9" t="n">
        <v>102.8746</v>
      </c>
      <c r="H92" s="9" t="n">
        <v>23.0918</v>
      </c>
      <c r="I92" s="9" t="n">
        <v>125.9664</v>
      </c>
      <c r="J92" s="9" t="n">
        <v>46.0098</v>
      </c>
      <c r="K92" s="9" t="n">
        <v>18.3457</v>
      </c>
      <c r="L92" s="9" t="n">
        <v>64.35550000000001</v>
      </c>
      <c r="M92" s="9" t="n">
        <v>0.9721</v>
      </c>
      <c r="N92" s="9" t="n">
        <v>1.5815</v>
      </c>
      <c r="O92" s="9" t="n">
        <v>21.8758</v>
      </c>
      <c r="P92" s="9" t="n">
        <v>24.1545</v>
      </c>
      <c r="Q92" s="9" t="n">
        <v>23.7219</v>
      </c>
      <c r="R92" s="9" t="n">
        <v>24.7284</v>
      </c>
      <c r="S92" s="9" t="n">
        <v>27.3043</v>
      </c>
      <c r="T92" s="9" t="n">
        <v>26.8153</v>
      </c>
      <c r="U92" s="9" t="n">
        <v>31</v>
      </c>
    </row>
    <row r="93">
      <c r="A93" s="10" t="n">
        <v>45017</v>
      </c>
      <c r="B93" s="11" t="n">
        <v>127.2995</v>
      </c>
      <c r="C93" s="11" t="n">
        <v>104.0194</v>
      </c>
      <c r="D93" s="11" t="n">
        <v>23.2802</v>
      </c>
      <c r="E93" s="11" t="n">
        <v>38.3668</v>
      </c>
      <c r="F93" s="11" t="n">
        <v>35.6671</v>
      </c>
      <c r="G93" s="11" t="n">
        <v>98.6551</v>
      </c>
      <c r="H93" s="11" t="n">
        <v>19.9984</v>
      </c>
      <c r="I93" s="11" t="n">
        <v>118.6535</v>
      </c>
      <c r="J93" s="11" t="n">
        <v>42.5665</v>
      </c>
      <c r="K93" s="11" t="n">
        <v>16.4819</v>
      </c>
      <c r="L93" s="11" t="n">
        <v>59.0484</v>
      </c>
      <c r="M93" s="11" t="n">
        <v>0.9321</v>
      </c>
      <c r="N93" s="11" t="n">
        <v>1.539</v>
      </c>
      <c r="O93" s="11" t="n">
        <v>21.9943</v>
      </c>
      <c r="P93" s="11" t="n">
        <v>24.2713</v>
      </c>
      <c r="Q93" s="11" t="n">
        <v>23.737</v>
      </c>
      <c r="R93" s="11" t="n">
        <v>24.8674</v>
      </c>
      <c r="S93" s="11" t="n">
        <v>27.4419</v>
      </c>
      <c r="T93" s="11" t="n">
        <v>26.8378</v>
      </c>
      <c r="U93" s="11" t="n">
        <v>30</v>
      </c>
    </row>
    <row r="94">
      <c r="A94" s="8" t="n">
        <v>45047</v>
      </c>
      <c r="B94" s="9" t="n">
        <v>130.0683</v>
      </c>
      <c r="C94" s="9" t="n">
        <v>106.454</v>
      </c>
      <c r="D94" s="9" t="n">
        <v>23.6143</v>
      </c>
      <c r="E94" s="9" t="n">
        <v>40.6787</v>
      </c>
      <c r="F94" s="9" t="n">
        <v>37.8238</v>
      </c>
      <c r="G94" s="9" t="n">
        <v>102.5611</v>
      </c>
      <c r="H94" s="9" t="n">
        <v>21.8685</v>
      </c>
      <c r="I94" s="9" t="n">
        <v>124.4297</v>
      </c>
      <c r="J94" s="9" t="n">
        <v>43.2504</v>
      </c>
      <c r="K94" s="9" t="n">
        <v>13.6605</v>
      </c>
      <c r="L94" s="9" t="n">
        <v>56.9109</v>
      </c>
      <c r="M94" s="9" t="n">
        <v>0.9566</v>
      </c>
      <c r="N94" s="9" t="n">
        <v>1.399</v>
      </c>
      <c r="O94" s="9" t="n">
        <v>21.9668</v>
      </c>
      <c r="P94" s="9" t="n">
        <v>24.2823</v>
      </c>
      <c r="Q94" s="9" t="n">
        <v>23.7329</v>
      </c>
      <c r="R94" s="9" t="n">
        <v>24.8904</v>
      </c>
      <c r="S94" s="9" t="n">
        <v>27.514</v>
      </c>
      <c r="T94" s="9" t="n">
        <v>26.8916</v>
      </c>
      <c r="U94" s="9" t="n">
        <v>31</v>
      </c>
    </row>
    <row r="95">
      <c r="A95" s="10" t="n">
        <v>45078</v>
      </c>
      <c r="B95" s="11" t="n">
        <v>132.4778</v>
      </c>
      <c r="C95" s="11" t="n">
        <v>108.0574</v>
      </c>
      <c r="D95" s="11" t="n">
        <v>24.4204</v>
      </c>
      <c r="E95" s="11" t="n">
        <v>40.5882</v>
      </c>
      <c r="F95" s="11" t="n">
        <v>37.8454</v>
      </c>
      <c r="G95" s="11" t="n">
        <v>106.1636</v>
      </c>
      <c r="H95" s="11" t="n">
        <v>22.2741</v>
      </c>
      <c r="I95" s="11" t="n">
        <v>128.4377</v>
      </c>
      <c r="J95" s="11" t="n">
        <v>47.2083</v>
      </c>
      <c r="K95" s="11" t="n">
        <v>14.0131</v>
      </c>
      <c r="L95" s="11" t="n">
        <v>61.2214</v>
      </c>
      <c r="M95" s="11" t="n">
        <v>0.9695</v>
      </c>
      <c r="N95" s="11" t="n">
        <v>1.5084</v>
      </c>
      <c r="O95" s="11" t="n">
        <v>22.0507</v>
      </c>
      <c r="P95" s="11" t="n">
        <v>24.327</v>
      </c>
      <c r="Q95" s="11" t="n">
        <v>23.8003</v>
      </c>
      <c r="R95" s="11" t="n">
        <v>24.9601</v>
      </c>
      <c r="S95" s="11" t="n">
        <v>27.5368</v>
      </c>
      <c r="T95" s="11" t="n">
        <v>26.9406</v>
      </c>
      <c r="U95" s="11" t="n">
        <v>30</v>
      </c>
    </row>
    <row r="96">
      <c r="A96" s="8" t="n">
        <v>45108</v>
      </c>
      <c r="B96" s="9" t="n">
        <v>130.7422</v>
      </c>
      <c r="C96" s="9" t="n">
        <v>106.609</v>
      </c>
      <c r="D96" s="9" t="n">
        <v>24.1332</v>
      </c>
      <c r="E96" s="9" t="n">
        <v>38.7826</v>
      </c>
      <c r="F96" s="9" t="n">
        <v>36.2018</v>
      </c>
      <c r="G96" s="9" t="n">
        <v>104.7059</v>
      </c>
      <c r="H96" s="9" t="n">
        <v>21.9251</v>
      </c>
      <c r="I96" s="9" t="n">
        <v>126.631</v>
      </c>
      <c r="J96" s="9" t="n">
        <v>46.9798</v>
      </c>
      <c r="K96" s="9" t="n">
        <v>13.3878</v>
      </c>
      <c r="L96" s="9" t="n">
        <v>60.3676</v>
      </c>
      <c r="M96" s="9" t="n">
        <v>0.9686</v>
      </c>
      <c r="N96" s="9" t="n">
        <v>1.5566</v>
      </c>
      <c r="O96" s="9" t="n">
        <v>22.1452</v>
      </c>
      <c r="P96" s="9" t="n">
        <v>24.3958</v>
      </c>
      <c r="Q96" s="9" t="n">
        <v>23.8677</v>
      </c>
      <c r="R96" s="9" t="n">
        <v>24.9468</v>
      </c>
      <c r="S96" s="9" t="n">
        <v>27.4822</v>
      </c>
      <c r="T96" s="9" t="n">
        <v>26.8873</v>
      </c>
      <c r="U96" s="9" t="n">
        <v>31</v>
      </c>
    </row>
    <row r="97">
      <c r="A97" s="10" t="n">
        <v>45139</v>
      </c>
      <c r="B97" s="11" t="n">
        <v>128.6522</v>
      </c>
      <c r="C97" s="11" t="n">
        <v>104.796</v>
      </c>
      <c r="D97" s="11" t="n">
        <v>23.8562</v>
      </c>
      <c r="E97" s="11" t="n">
        <v>39.197</v>
      </c>
      <c r="F97" s="11" t="n">
        <v>36.5568</v>
      </c>
      <c r="G97" s="11" t="n">
        <v>106.4794</v>
      </c>
      <c r="H97" s="11" t="n">
        <v>24.3263</v>
      </c>
      <c r="I97" s="11" t="n">
        <v>130.8057</v>
      </c>
      <c r="J97" s="11" t="n">
        <v>49.7686</v>
      </c>
      <c r="K97" s="11" t="n">
        <v>16.925</v>
      </c>
      <c r="L97" s="11" t="n">
        <v>66.6936</v>
      </c>
      <c r="M97" s="11" t="n">
        <v>1.0167</v>
      </c>
      <c r="N97" s="11" t="n">
        <v>1.7015</v>
      </c>
      <c r="O97" s="11" t="n">
        <v>22.3381</v>
      </c>
      <c r="P97" s="11" t="n">
        <v>24.5503</v>
      </c>
      <c r="Q97" s="11" t="n">
        <v>24.061</v>
      </c>
      <c r="R97" s="11" t="n">
        <v>25.0256</v>
      </c>
      <c r="S97" s="11" t="n">
        <v>27.5041</v>
      </c>
      <c r="T97" s="11" t="n">
        <v>26.9558</v>
      </c>
      <c r="U97" s="11" t="n">
        <v>31</v>
      </c>
    </row>
    <row r="98">
      <c r="A98" s="8" t="n">
        <v>45170</v>
      </c>
      <c r="B98" s="9" t="n">
        <v>132.0654</v>
      </c>
      <c r="C98" s="9" t="n">
        <v>107.4078</v>
      </c>
      <c r="D98" s="9" t="n">
        <v>24.6576</v>
      </c>
      <c r="E98" s="9" t="n">
        <v>38.4684</v>
      </c>
      <c r="F98" s="9" t="n">
        <v>35.7848</v>
      </c>
      <c r="G98" s="9" t="n">
        <v>104.9874</v>
      </c>
      <c r="H98" s="9" t="n">
        <v>23.6853</v>
      </c>
      <c r="I98" s="9" t="n">
        <v>128.6727</v>
      </c>
      <c r="J98" s="9" t="n">
        <v>46.9839</v>
      </c>
      <c r="K98" s="9" t="n">
        <v>17.8805</v>
      </c>
      <c r="L98" s="9" t="n">
        <v>64.8644</v>
      </c>
      <c r="M98" s="9" t="n">
        <v>0.9743000000000001</v>
      </c>
      <c r="N98" s="9" t="n">
        <v>1.6862</v>
      </c>
      <c r="O98" s="9" t="n">
        <v>22.4013</v>
      </c>
      <c r="P98" s="9" t="n">
        <v>24.6633</v>
      </c>
      <c r="Q98" s="9" t="n">
        <v>24.164</v>
      </c>
      <c r="R98" s="9" t="n">
        <v>24.9856</v>
      </c>
      <c r="S98" s="9" t="n">
        <v>27.5086</v>
      </c>
      <c r="T98" s="9" t="n">
        <v>26.9516</v>
      </c>
      <c r="U98" s="9" t="n">
        <v>30</v>
      </c>
    </row>
    <row r="99">
      <c r="A99" s="10" t="n">
        <v>45200</v>
      </c>
      <c r="B99" s="11" t="n">
        <v>130.2538</v>
      </c>
      <c r="C99" s="11" t="n">
        <v>105.9388</v>
      </c>
      <c r="D99" s="11" t="n">
        <v>24.315</v>
      </c>
      <c r="E99" s="11" t="n">
        <v>39.0455</v>
      </c>
      <c r="F99" s="11" t="n">
        <v>36.2065</v>
      </c>
      <c r="G99" s="11" t="n">
        <v>103.4088</v>
      </c>
      <c r="H99" s="11" t="n">
        <v>23.101</v>
      </c>
      <c r="I99" s="11" t="n">
        <v>126.5099</v>
      </c>
      <c r="J99" s="11" t="n">
        <v>46.1554</v>
      </c>
      <c r="K99" s="11" t="n">
        <v>13.5828</v>
      </c>
      <c r="L99" s="11" t="n">
        <v>59.7382</v>
      </c>
      <c r="M99" s="11" t="n">
        <v>0.9713000000000001</v>
      </c>
      <c r="N99" s="11" t="n">
        <v>1.53</v>
      </c>
      <c r="O99" s="11" t="n">
        <v>22.3861</v>
      </c>
      <c r="P99" s="11" t="n">
        <v>24.6906</v>
      </c>
      <c r="Q99" s="11" t="n">
        <v>24.2281</v>
      </c>
      <c r="R99" s="11" t="n">
        <v>24.8752</v>
      </c>
      <c r="S99" s="11" t="n">
        <v>27.4359</v>
      </c>
      <c r="T99" s="11" t="n">
        <v>26.9219</v>
      </c>
      <c r="U99" s="11" t="n">
        <v>31</v>
      </c>
    </row>
    <row r="100">
      <c r="A100" s="8" t="n">
        <v>45231</v>
      </c>
      <c r="B100" s="9" t="n">
        <v>128.8504</v>
      </c>
      <c r="C100" s="9" t="n">
        <v>104.4112</v>
      </c>
      <c r="D100" s="9" t="n">
        <v>24.4392</v>
      </c>
      <c r="E100" s="9" t="n">
        <v>39.7265</v>
      </c>
      <c r="F100" s="9" t="n">
        <v>36.9781</v>
      </c>
      <c r="G100" s="9" t="n">
        <v>106.336</v>
      </c>
      <c r="H100" s="9" t="n">
        <v>22.5625</v>
      </c>
      <c r="I100" s="9" t="n">
        <v>128.8985</v>
      </c>
      <c r="J100" s="9" t="n">
        <v>45.7472</v>
      </c>
      <c r="K100" s="9" t="n">
        <v>16.3765</v>
      </c>
      <c r="L100" s="9" t="n">
        <v>62.1237</v>
      </c>
      <c r="M100" s="9" t="n">
        <v>1.0004</v>
      </c>
      <c r="N100" s="9" t="n">
        <v>1.5638</v>
      </c>
      <c r="O100" s="9" t="n">
        <v>22.3083</v>
      </c>
      <c r="P100" s="9" t="n">
        <v>24.504</v>
      </c>
      <c r="Q100" s="9" t="n">
        <v>24.174</v>
      </c>
      <c r="R100" s="9" t="n">
        <v>24.6311</v>
      </c>
      <c r="S100" s="9" t="n">
        <v>27.0553</v>
      </c>
      <c r="T100" s="9" t="n">
        <v>26.691</v>
      </c>
      <c r="U100" s="9" t="n">
        <v>30</v>
      </c>
    </row>
    <row r="101">
      <c r="A101" s="10" t="n">
        <v>45261</v>
      </c>
      <c r="B101" s="11" t="n">
        <v>123.9155</v>
      </c>
      <c r="C101" s="11" t="n">
        <v>99.5859</v>
      </c>
      <c r="D101" s="11" t="n">
        <v>24.3296</v>
      </c>
      <c r="E101" s="11" t="n">
        <v>34.2254</v>
      </c>
      <c r="F101" s="11" t="n">
        <v>31.8713</v>
      </c>
      <c r="G101" s="11" t="n">
        <v>109.3057</v>
      </c>
      <c r="H101" s="11" t="n">
        <v>16.6875</v>
      </c>
      <c r="I101" s="11" t="n">
        <v>125.9931</v>
      </c>
      <c r="J101" s="11" t="n">
        <v>43.0631</v>
      </c>
      <c r="K101" s="11" t="n">
        <v>13.4645</v>
      </c>
      <c r="L101" s="11" t="n">
        <v>56.5276</v>
      </c>
      <c r="M101" s="11" t="n">
        <v>1.0168</v>
      </c>
      <c r="N101" s="11" t="n">
        <v>1.6516</v>
      </c>
      <c r="O101" s="11" t="n">
        <v>22.1665</v>
      </c>
      <c r="P101" s="11" t="n">
        <v>24.2271</v>
      </c>
      <c r="Q101" s="11" t="n">
        <v>24.1639</v>
      </c>
      <c r="R101" s="11" t="n">
        <v>24.3028</v>
      </c>
      <c r="S101" s="11" t="n">
        <v>26.5621</v>
      </c>
      <c r="T101" s="11" t="n">
        <v>26.4928</v>
      </c>
      <c r="U101" s="11" t="n">
        <v>31</v>
      </c>
    </row>
    <row r="102">
      <c r="A102" s="8" t="n">
        <v>45292</v>
      </c>
      <c r="B102" s="9" t="n">
        <v>126.8113</v>
      </c>
      <c r="C102" s="9" t="n">
        <v>101.4305</v>
      </c>
      <c r="D102" s="9" t="n">
        <v>25.3807</v>
      </c>
      <c r="E102" s="9" t="n">
        <v>38.7081</v>
      </c>
      <c r="F102" s="9" t="n">
        <v>35.9014</v>
      </c>
      <c r="G102" s="9" t="n">
        <v>100.3843</v>
      </c>
      <c r="H102" s="9" t="n">
        <v>18.7289</v>
      </c>
      <c r="I102" s="9" t="n">
        <v>119.1131</v>
      </c>
      <c r="J102" s="9" t="n">
        <v>39.5269</v>
      </c>
      <c r="K102" s="9" t="n">
        <v>10.894</v>
      </c>
      <c r="L102" s="9" t="n">
        <v>50.4209</v>
      </c>
      <c r="M102" s="9" t="n">
        <v>0.9393</v>
      </c>
      <c r="N102" s="9" t="n">
        <v>1.3026</v>
      </c>
      <c r="O102" s="9" t="n">
        <v>22.2929</v>
      </c>
      <c r="P102" s="9" t="n">
        <v>24.1752</v>
      </c>
      <c r="Q102" s="9" t="n">
        <v>24.3819</v>
      </c>
      <c r="R102" s="9" t="n">
        <v>24.2252</v>
      </c>
      <c r="S102" s="9" t="n">
        <v>26.2706</v>
      </c>
      <c r="T102" s="9" t="n">
        <v>26.4953</v>
      </c>
      <c r="U102" s="9" t="n">
        <v>31</v>
      </c>
    </row>
    <row r="103">
      <c r="A103" s="10" t="n">
        <v>45323</v>
      </c>
      <c r="B103" s="11" t="n">
        <v>131.7032</v>
      </c>
      <c r="C103" s="11" t="n">
        <v>104.7741</v>
      </c>
      <c r="D103" s="11" t="n">
        <v>26.9292</v>
      </c>
      <c r="E103" s="11" t="n">
        <v>39.6822</v>
      </c>
      <c r="F103" s="11" t="n">
        <v>36.8445</v>
      </c>
      <c r="G103" s="11" t="n">
        <v>103.9419</v>
      </c>
      <c r="H103" s="11" t="n">
        <v>18.837</v>
      </c>
      <c r="I103" s="11" t="n">
        <v>122.7789</v>
      </c>
      <c r="J103" s="11" t="n">
        <v>44.3519</v>
      </c>
      <c r="K103" s="11" t="n">
        <v>10.828</v>
      </c>
      <c r="L103" s="11" t="n">
        <v>55.1799</v>
      </c>
      <c r="M103" s="11" t="n">
        <v>0.9322</v>
      </c>
      <c r="N103" s="11" t="n">
        <v>1.3905</v>
      </c>
      <c r="O103" s="11" t="n">
        <v>22.9672</v>
      </c>
      <c r="P103" s="11" t="n">
        <v>24.5607</v>
      </c>
      <c r="Q103" s="11" t="n">
        <v>24.8566</v>
      </c>
      <c r="R103" s="11" t="n">
        <v>24.9344</v>
      </c>
      <c r="S103" s="11" t="n">
        <v>26.6644</v>
      </c>
      <c r="T103" s="11" t="n">
        <v>26.9856</v>
      </c>
      <c r="U103" s="11" t="n">
        <v>29</v>
      </c>
    </row>
    <row r="104">
      <c r="A104" s="8" t="n">
        <v>45352</v>
      </c>
      <c r="B104" s="9" t="n">
        <v>131.4956</v>
      </c>
      <c r="C104" s="9" t="n">
        <v>104.3719</v>
      </c>
      <c r="D104" s="9" t="n">
        <v>27.1237</v>
      </c>
      <c r="E104" s="9" t="n">
        <v>38.3323</v>
      </c>
      <c r="F104" s="9" t="n">
        <v>35.5439</v>
      </c>
      <c r="G104" s="9" t="n">
        <v>105.1008</v>
      </c>
      <c r="H104" s="9" t="n">
        <v>19.7965</v>
      </c>
      <c r="I104" s="9" t="n">
        <v>124.8972</v>
      </c>
      <c r="J104" s="9" t="n">
        <v>46.2626</v>
      </c>
      <c r="K104" s="9" t="n">
        <v>9.618399999999999</v>
      </c>
      <c r="L104" s="9" t="n">
        <v>55.881</v>
      </c>
      <c r="M104" s="9" t="n">
        <v>0.9498</v>
      </c>
      <c r="N104" s="9" t="n">
        <v>1.4578</v>
      </c>
      <c r="O104" s="9" t="n">
        <v>23.2029</v>
      </c>
      <c r="P104" s="9" t="n">
        <v>24.9345</v>
      </c>
      <c r="Q104" s="9" t="n">
        <v>24.9758</v>
      </c>
      <c r="R104" s="9" t="n">
        <v>25.1181</v>
      </c>
      <c r="S104" s="9" t="n">
        <v>26.9927</v>
      </c>
      <c r="T104" s="9" t="n">
        <v>27.0374</v>
      </c>
      <c r="U104" s="9" t="n">
        <v>31</v>
      </c>
    </row>
    <row r="105">
      <c r="A105" s="10" t="n">
        <v>45383</v>
      </c>
      <c r="B105" s="11" t="n">
        <v>132.0478</v>
      </c>
      <c r="C105" s="11" t="n">
        <v>105.035</v>
      </c>
      <c r="D105" s="11" t="n">
        <v>27.0128</v>
      </c>
      <c r="E105" s="11" t="n">
        <v>41.5254</v>
      </c>
      <c r="F105" s="11" t="n">
        <v>38.5203</v>
      </c>
      <c r="G105" s="11" t="n">
        <v>106.5921</v>
      </c>
      <c r="H105" s="11" t="n">
        <v>20.3971</v>
      </c>
      <c r="I105" s="11" t="n">
        <v>126.9892</v>
      </c>
      <c r="J105" s="11" t="n">
        <v>50.4651</v>
      </c>
      <c r="K105" s="11" t="n">
        <v>13.6255</v>
      </c>
      <c r="L105" s="11" t="n">
        <v>64.09059999999999</v>
      </c>
      <c r="M105" s="11" t="n">
        <v>0.9617</v>
      </c>
      <c r="N105" s="11" t="n">
        <v>1.5434</v>
      </c>
      <c r="O105" s="11" t="n">
        <v>23.4017</v>
      </c>
      <c r="P105" s="11" t="n">
        <v>25.2337</v>
      </c>
      <c r="Q105" s="11" t="n">
        <v>25.135</v>
      </c>
      <c r="R105" s="11" t="n">
        <v>25.2822</v>
      </c>
      <c r="S105" s="11" t="n">
        <v>27.2614</v>
      </c>
      <c r="T105" s="11" t="n">
        <v>27.1548</v>
      </c>
      <c r="U105" s="11" t="n">
        <v>30</v>
      </c>
    </row>
    <row r="106">
      <c r="A106" s="8" t="n">
        <v>45413</v>
      </c>
      <c r="B106" s="9" t="n">
        <v>134.7221</v>
      </c>
      <c r="C106" s="9" t="n">
        <v>106.6666</v>
      </c>
      <c r="D106" s="9" t="n">
        <v>28.0555</v>
      </c>
      <c r="E106" s="9" t="n">
        <v>41.1695</v>
      </c>
      <c r="F106" s="9" t="n">
        <v>38.2071</v>
      </c>
      <c r="G106" s="9" t="n">
        <v>110.7981</v>
      </c>
      <c r="H106" s="9" t="n">
        <v>17.4644</v>
      </c>
      <c r="I106" s="9" t="n">
        <v>128.2625</v>
      </c>
      <c r="J106" s="9" t="n">
        <v>50.996</v>
      </c>
      <c r="K106" s="9" t="n">
        <v>11.8318</v>
      </c>
      <c r="L106" s="9" t="n">
        <v>62.8278</v>
      </c>
      <c r="M106" s="9" t="n">
        <v>0.9520999999999999</v>
      </c>
      <c r="N106" s="9" t="n">
        <v>1.5261</v>
      </c>
      <c r="O106" s="9" t="n">
        <v>23.5294</v>
      </c>
      <c r="P106" s="9" t="n">
        <v>25.2826</v>
      </c>
      <c r="Q106" s="9" t="n">
        <v>25.1568</v>
      </c>
      <c r="R106" s="9" t="n">
        <v>25.4673</v>
      </c>
      <c r="S106" s="9" t="n">
        <v>27.365</v>
      </c>
      <c r="T106" s="9" t="n">
        <v>27.2288</v>
      </c>
      <c r="U106" s="9" t="n">
        <v>31</v>
      </c>
    </row>
    <row r="107">
      <c r="A107" s="10" t="n">
        <v>45444</v>
      </c>
      <c r="B107" s="11" t="n">
        <v>133.3931</v>
      </c>
      <c r="C107" s="11" t="n">
        <v>105.2997</v>
      </c>
      <c r="D107" s="11" t="n">
        <v>28.0934</v>
      </c>
      <c r="E107" s="11" t="n">
        <v>39.5182</v>
      </c>
      <c r="F107" s="11" t="n">
        <v>36.6633</v>
      </c>
      <c r="G107" s="11" t="n">
        <v>106.7528</v>
      </c>
      <c r="H107" s="11" t="n">
        <v>23.4757</v>
      </c>
      <c r="I107" s="11" t="n">
        <v>130.2286</v>
      </c>
      <c r="J107" s="11" t="n">
        <v>51.3112</v>
      </c>
      <c r="K107" s="11" t="n">
        <v>14.8807</v>
      </c>
      <c r="L107" s="11" t="n">
        <v>66.19199999999999</v>
      </c>
      <c r="M107" s="11" t="n">
        <v>0.9762999999999999</v>
      </c>
      <c r="N107" s="11" t="n">
        <v>1.675</v>
      </c>
      <c r="O107" s="11" t="n">
        <v>23.606</v>
      </c>
      <c r="P107" s="11" t="n">
        <v>25.2273</v>
      </c>
      <c r="Q107" s="11" t="n">
        <v>25.218</v>
      </c>
      <c r="R107" s="11" t="n">
        <v>25.454</v>
      </c>
      <c r="S107" s="11" t="n">
        <v>27.2023</v>
      </c>
      <c r="T107" s="11" t="n">
        <v>27.1922</v>
      </c>
      <c r="U107" s="11" t="n">
        <v>30</v>
      </c>
    </row>
    <row r="108">
      <c r="A108" s="8" t="n">
        <v>45474</v>
      </c>
      <c r="B108" s="9" t="n">
        <v>130.7962</v>
      </c>
      <c r="C108" s="9" t="n">
        <v>103.1456</v>
      </c>
      <c r="D108" s="9" t="n">
        <v>27.6506</v>
      </c>
      <c r="E108" s="9" t="n">
        <v>39.3264</v>
      </c>
      <c r="F108" s="9" t="n">
        <v>36.4597</v>
      </c>
      <c r="G108" s="9" t="n">
        <v>109.6764</v>
      </c>
      <c r="H108" s="9" t="n">
        <v>20.2663</v>
      </c>
      <c r="I108" s="9" t="n">
        <v>129.9427</v>
      </c>
      <c r="J108" s="9" t="n">
        <v>49.9738</v>
      </c>
      <c r="K108" s="9" t="n">
        <v>14.3052</v>
      </c>
      <c r="L108" s="9" t="n">
        <v>64.279</v>
      </c>
      <c r="M108" s="9" t="n">
        <v>0.9935</v>
      </c>
      <c r="N108" s="9" t="n">
        <v>1.6345</v>
      </c>
      <c r="O108" s="9" t="n">
        <v>23.9077</v>
      </c>
      <c r="P108" s="9" t="n">
        <v>25.4894</v>
      </c>
      <c r="Q108" s="9" t="n">
        <v>25.5694</v>
      </c>
      <c r="R108" s="9" t="n">
        <v>25.5123</v>
      </c>
      <c r="S108" s="9" t="n">
        <v>27.2001</v>
      </c>
      <c r="T108" s="9" t="n">
        <v>27.2855</v>
      </c>
      <c r="U108" s="9" t="n">
        <v>31</v>
      </c>
    </row>
    <row r="109">
      <c r="A109" s="10" t="n">
        <v>45505</v>
      </c>
      <c r="B109" s="11" t="n">
        <v>132.1769</v>
      </c>
      <c r="C109" s="11" t="n">
        <v>103.7318</v>
      </c>
      <c r="D109" s="11" t="n">
        <v>28.4451</v>
      </c>
      <c r="E109" s="11" t="n">
        <v>38.974</v>
      </c>
      <c r="F109" s="11" t="n">
        <v>36.0648</v>
      </c>
      <c r="G109" s="11" t="n">
        <v>109.4961</v>
      </c>
      <c r="H109" s="11" t="n">
        <v>20.054</v>
      </c>
      <c r="I109" s="11" t="n">
        <v>129.5502</v>
      </c>
      <c r="J109" s="11" t="n">
        <v>49.9668</v>
      </c>
      <c r="K109" s="11" t="n">
        <v>11.7713</v>
      </c>
      <c r="L109" s="11" t="n">
        <v>61.7381</v>
      </c>
      <c r="M109" s="11" t="n">
        <v>0.9801</v>
      </c>
      <c r="N109" s="11" t="n">
        <v>1.5841</v>
      </c>
      <c r="O109" s="11" t="n">
        <v>24.0742</v>
      </c>
      <c r="P109" s="11" t="n">
        <v>25.5906</v>
      </c>
      <c r="Q109" s="11" t="n">
        <v>25.6145</v>
      </c>
      <c r="R109" s="11" t="n">
        <v>25.6881</v>
      </c>
      <c r="S109" s="11" t="n">
        <v>27.3062</v>
      </c>
      <c r="T109" s="11" t="n">
        <v>27.3317</v>
      </c>
      <c r="U109" s="11" t="n">
        <v>31</v>
      </c>
    </row>
    <row r="110">
      <c r="A110" s="8" t="n">
        <v>45536</v>
      </c>
      <c r="B110" s="9" t="n">
        <v>130.5508</v>
      </c>
      <c r="C110" s="9" t="n">
        <v>102.0922</v>
      </c>
      <c r="D110" s="9" t="n">
        <v>28.4586</v>
      </c>
      <c r="E110" s="9" t="n">
        <v>36.4627</v>
      </c>
      <c r="F110" s="9" t="n">
        <v>33.7282</v>
      </c>
      <c r="G110" s="9" t="n">
        <v>104.8706</v>
      </c>
      <c r="H110" s="9" t="n">
        <v>20.6086</v>
      </c>
      <c r="I110" s="9" t="n">
        <v>125.4791</v>
      </c>
      <c r="J110" s="9" t="n">
        <v>45.3106</v>
      </c>
      <c r="K110" s="9" t="n">
        <v>12.9217</v>
      </c>
      <c r="L110" s="9" t="n">
        <v>58.2323</v>
      </c>
      <c r="M110" s="9" t="n">
        <v>0.9612000000000001</v>
      </c>
      <c r="N110" s="9" t="n">
        <v>1.597</v>
      </c>
      <c r="O110" s="9" t="n">
        <v>23.977</v>
      </c>
      <c r="P110" s="9" t="n">
        <v>25.4517</v>
      </c>
      <c r="Q110" s="9" t="n">
        <v>25.548</v>
      </c>
      <c r="R110" s="9" t="n">
        <v>25.5718</v>
      </c>
      <c r="S110" s="9" t="n">
        <v>27.1445</v>
      </c>
      <c r="T110" s="9" t="n">
        <v>27.2473</v>
      </c>
      <c r="U110" s="9" t="n">
        <v>30</v>
      </c>
    </row>
    <row r="111">
      <c r="A111" s="10" t="n">
        <v>45566</v>
      </c>
      <c r="B111" s="11" t="n">
        <v>129.5854</v>
      </c>
      <c r="C111" s="11" t="n">
        <v>100.864</v>
      </c>
      <c r="D111" s="11" t="n">
        <v>28.7214</v>
      </c>
      <c r="E111" s="11" t="n">
        <v>39.0291</v>
      </c>
      <c r="F111" s="11" t="n">
        <v>36.0269</v>
      </c>
      <c r="G111" s="11" t="n">
        <v>104.931</v>
      </c>
      <c r="H111" s="11" t="n">
        <v>16.524</v>
      </c>
      <c r="I111" s="11" t="n">
        <v>121.455</v>
      </c>
      <c r="J111" s="11" t="n">
        <v>43.8741</v>
      </c>
      <c r="K111" s="11" t="n">
        <v>11.869</v>
      </c>
      <c r="L111" s="11" t="n">
        <v>55.7432</v>
      </c>
      <c r="M111" s="11" t="n">
        <v>0.9373</v>
      </c>
      <c r="N111" s="11" t="n">
        <v>1.4282</v>
      </c>
      <c r="O111" s="11" t="n">
        <v>23.9161</v>
      </c>
      <c r="P111" s="11" t="n">
        <v>25.3248</v>
      </c>
      <c r="Q111" s="11" t="n">
        <v>25.5045</v>
      </c>
      <c r="R111" s="11" t="n">
        <v>25.3674</v>
      </c>
      <c r="S111" s="11" t="n">
        <v>26.8616</v>
      </c>
      <c r="T111" s="11" t="n">
        <v>27.0522</v>
      </c>
      <c r="U111" s="11" t="n">
        <v>31</v>
      </c>
    </row>
    <row r="112">
      <c r="A112" s="8" t="n">
        <v>45597</v>
      </c>
      <c r="B112" s="9" t="n">
        <v>132.3427</v>
      </c>
      <c r="C112" s="9" t="n">
        <v>102.1552</v>
      </c>
      <c r="D112" s="9" t="n">
        <v>30.1875</v>
      </c>
      <c r="E112" s="9" t="n">
        <v>39.3978</v>
      </c>
      <c r="F112" s="9" t="n">
        <v>36.3958</v>
      </c>
      <c r="G112" s="9" t="n">
        <v>106.4471</v>
      </c>
      <c r="H112" s="9" t="n">
        <v>20.3377</v>
      </c>
      <c r="I112" s="9" t="n">
        <v>126.7847</v>
      </c>
      <c r="J112" s="9" t="n">
        <v>42.03</v>
      </c>
      <c r="K112" s="9" t="n">
        <v>10.2682</v>
      </c>
      <c r="L112" s="9" t="n">
        <v>52.2982</v>
      </c>
      <c r="M112" s="9" t="n">
        <v>0.958</v>
      </c>
      <c r="N112" s="9" t="n">
        <v>1.3274</v>
      </c>
      <c r="O112" s="9" t="n">
        <v>23.9037</v>
      </c>
      <c r="P112" s="9" t="n">
        <v>25.3147</v>
      </c>
      <c r="Q112" s="9" t="n">
        <v>25.575</v>
      </c>
      <c r="R112" s="9" t="n">
        <v>25.2442</v>
      </c>
      <c r="S112" s="9" t="n">
        <v>26.7344</v>
      </c>
      <c r="T112" s="9" t="n">
        <v>27.0093</v>
      </c>
      <c r="U112" s="9" t="n">
        <v>30</v>
      </c>
    </row>
    <row r="113">
      <c r="A113" s="10" t="n">
        <v>45627</v>
      </c>
      <c r="B113" s="11" t="n">
        <v>131.6926</v>
      </c>
      <c r="C113" s="11" t="n">
        <v>100.6813</v>
      </c>
      <c r="D113" s="11" t="n">
        <v>31.0113</v>
      </c>
      <c r="E113" s="11" t="n">
        <v>35.5418</v>
      </c>
      <c r="F113" s="11" t="n">
        <v>32.8711</v>
      </c>
      <c r="G113" s="11" t="n">
        <v>106.3239</v>
      </c>
      <c r="H113" s="11" t="n">
        <v>21.0216</v>
      </c>
      <c r="I113" s="11" t="n">
        <v>127.3455</v>
      </c>
      <c r="J113" s="11" t="n">
        <v>37.5746</v>
      </c>
      <c r="K113" s="11" t="n">
        <v>11.86</v>
      </c>
      <c r="L113" s="11" t="n">
        <v>49.4346</v>
      </c>
      <c r="M113" s="11" t="n">
        <v>0.967</v>
      </c>
      <c r="N113" s="11" t="n">
        <v>1.3909</v>
      </c>
      <c r="O113" s="11" t="n">
        <v>23.9729</v>
      </c>
      <c r="P113" s="11" t="n">
        <v>25.3752</v>
      </c>
      <c r="Q113" s="11" t="n">
        <v>25.6884</v>
      </c>
      <c r="R113" s="11" t="n">
        <v>25.221</v>
      </c>
      <c r="S113" s="11" t="n">
        <v>26.6963</v>
      </c>
      <c r="T113" s="11" t="n">
        <v>27.0258</v>
      </c>
      <c r="U113" s="11" t="n">
        <v>31</v>
      </c>
    </row>
    <row r="114">
      <c r="A114" s="8" t="n">
        <v>45658</v>
      </c>
      <c r="B114" s="9" t="n">
        <v>124.336</v>
      </c>
      <c r="C114" s="9" t="n">
        <v>94.839</v>
      </c>
      <c r="D114" s="9" t="n">
        <v>29.497</v>
      </c>
      <c r="E114" s="9" t="n">
        <v>37.3448</v>
      </c>
      <c r="F114" s="9" t="n">
        <v>34.5739</v>
      </c>
      <c r="G114" s="9" t="n">
        <v>97.1842</v>
      </c>
      <c r="H114" s="9" t="n">
        <v>17.5727</v>
      </c>
      <c r="I114" s="9" t="n">
        <v>114.7569</v>
      </c>
      <c r="J114" s="9" t="n">
        <v>36.3393</v>
      </c>
      <c r="K114" s="9" t="n">
        <v>10.6211</v>
      </c>
      <c r="L114" s="9" t="n">
        <v>46.9604</v>
      </c>
      <c r="M114" s="9" t="n">
        <v>0.923</v>
      </c>
      <c r="N114" s="9" t="n">
        <v>1.2575</v>
      </c>
      <c r="O114" s="9" t="n">
        <v>24.2706</v>
      </c>
      <c r="P114" s="9" t="n">
        <v>25.6397</v>
      </c>
      <c r="Q114" s="9" t="n">
        <v>26.0432</v>
      </c>
      <c r="R114" s="9" t="n">
        <v>25.4615</v>
      </c>
      <c r="S114" s="9" t="n">
        <v>26.8977</v>
      </c>
      <c r="T114" s="9" t="n">
        <v>27.3211</v>
      </c>
      <c r="U114" s="9" t="n">
        <v>31</v>
      </c>
    </row>
    <row r="115">
      <c r="A115" s="10" t="n">
        <v>45689</v>
      </c>
      <c r="B115" s="11" t="n">
        <v>129.2935</v>
      </c>
      <c r="C115" s="11" t="n">
        <v>98.67010000000001</v>
      </c>
      <c r="D115" s="11" t="n">
        <v>30.6234</v>
      </c>
      <c r="E115" s="11" t="n">
        <v>38.8097</v>
      </c>
      <c r="F115" s="11" t="n">
        <v>35.8912</v>
      </c>
      <c r="G115" s="11" t="n">
        <v>100.6569</v>
      </c>
      <c r="H115" s="11" t="n">
        <v>17.9252</v>
      </c>
      <c r="I115" s="11" t="n">
        <v>118.5821</v>
      </c>
      <c r="J115" s="11" t="n">
        <v>40.579</v>
      </c>
      <c r="K115" s="11" t="n">
        <v>11.305</v>
      </c>
      <c r="L115" s="11" t="n">
        <v>51.8839</v>
      </c>
      <c r="M115" s="11" t="n">
        <v>0.9172</v>
      </c>
      <c r="N115" s="11" t="n">
        <v>1.3369</v>
      </c>
      <c r="O115" s="11" t="n">
        <v>24.2554</v>
      </c>
      <c r="P115" s="11" t="n">
        <v>25.7279</v>
      </c>
      <c r="Q115" s="11" t="n">
        <v>26.1471</v>
      </c>
      <c r="R115" s="11" t="n">
        <v>25.3752</v>
      </c>
      <c r="S115" s="11" t="n">
        <v>26.9157</v>
      </c>
      <c r="T115" s="11" t="n">
        <v>27.3544</v>
      </c>
      <c r="U115" s="11" t="n">
        <v>28</v>
      </c>
    </row>
    <row r="116">
      <c r="A116" s="8" t="n">
        <v>45717</v>
      </c>
      <c r="B116" s="9" t="n">
        <v>131.6288</v>
      </c>
      <c r="C116" s="9" t="n">
        <v>100.6332</v>
      </c>
      <c r="D116" s="9" t="n">
        <v>30.9955</v>
      </c>
      <c r="E116" s="9" t="n">
        <v>39.1693</v>
      </c>
      <c r="F116" s="9" t="n">
        <v>36.1163</v>
      </c>
      <c r="G116" s="9" t="n">
        <v>103.6348</v>
      </c>
      <c r="H116" s="9" t="n">
        <v>18.0721</v>
      </c>
      <c r="I116" s="9" t="n">
        <v>121.7068</v>
      </c>
      <c r="J116" s="9" t="n">
        <v>40.0646</v>
      </c>
      <c r="K116" s="9" t="n">
        <v>12.5188</v>
      </c>
      <c r="L116" s="9" t="n">
        <v>52.5835</v>
      </c>
      <c r="M116" s="9" t="n">
        <v>0.9246</v>
      </c>
      <c r="N116" s="9" t="n">
        <v>1.3425</v>
      </c>
      <c r="O116" s="9" t="n">
        <v>23.7697</v>
      </c>
      <c r="P116" s="9" t="n">
        <v>25.6548</v>
      </c>
      <c r="Q116" s="9" t="n">
        <v>26.0977</v>
      </c>
      <c r="R116" s="9" t="n">
        <v>24.7894</v>
      </c>
      <c r="S116" s="9" t="n">
        <v>26.7554</v>
      </c>
      <c r="T116" s="9" t="n">
        <v>27.2173</v>
      </c>
      <c r="U116" s="9" t="n">
        <v>31</v>
      </c>
    </row>
    <row r="117">
      <c r="A117" s="10" t="n">
        <v>45748</v>
      </c>
      <c r="B117" s="11" t="n">
        <v>123.7966</v>
      </c>
      <c r="C117" s="11" t="n">
        <v>94.4579</v>
      </c>
      <c r="D117" s="11" t="n">
        <v>29.3388</v>
      </c>
      <c r="E117" s="11" t="n">
        <v>37.5262</v>
      </c>
      <c r="F117" s="11" t="n">
        <v>34.5128</v>
      </c>
      <c r="G117" s="11" t="n">
        <v>111.8139</v>
      </c>
      <c r="H117" s="11" t="n">
        <v>19.9093</v>
      </c>
      <c r="I117" s="11" t="n">
        <v>131.7232</v>
      </c>
      <c r="J117" s="11" t="n">
        <v>48.208</v>
      </c>
      <c r="K117" s="11" t="n">
        <v>13.2503</v>
      </c>
      <c r="L117" s="11" t="n">
        <v>61.4583</v>
      </c>
      <c r="M117" s="11" t="n">
        <v>1.064</v>
      </c>
      <c r="N117" s="11" t="n">
        <v>1.6377</v>
      </c>
      <c r="O117" s="11" t="n">
        <v>23.6493</v>
      </c>
      <c r="P117" s="11" t="n">
        <v>25.7027</v>
      </c>
      <c r="Q117" s="11" t="n">
        <v>26.1087</v>
      </c>
      <c r="R117" s="11" t="n">
        <v>24.5828</v>
      </c>
      <c r="S117" s="11" t="n">
        <v>26.7172</v>
      </c>
      <c r="T117" s="11" t="n">
        <v>27.1392</v>
      </c>
      <c r="U117" s="11" t="n">
        <v>30</v>
      </c>
    </row>
    <row r="118">
      <c r="A118" s="8" t="n">
        <v>45778</v>
      </c>
      <c r="B118" s="9" t="n">
        <v>134.0009</v>
      </c>
      <c r="C118" s="9" t="n">
        <v>102.1024</v>
      </c>
      <c r="D118" s="9" t="n">
        <v>31.8985</v>
      </c>
      <c r="E118" s="9" t="n">
        <v>40.1956</v>
      </c>
      <c r="F118" s="9" t="n">
        <v>37.0668</v>
      </c>
      <c r="G118" s="9" t="n">
        <v>110.4499</v>
      </c>
      <c r="H118" s="9" t="n">
        <v>21.6533</v>
      </c>
      <c r="I118" s="9" t="n">
        <v>132.1032</v>
      </c>
      <c r="J118" s="9" t="n">
        <v>46.9976</v>
      </c>
      <c r="K118" s="9" t="n">
        <v>15.689</v>
      </c>
      <c r="L118" s="9" t="n">
        <v>62.6866</v>
      </c>
      <c r="M118" s="9" t="n">
        <v>0.9858</v>
      </c>
      <c r="N118" s="9" t="n">
        <v>1.5595</v>
      </c>
      <c r="O118" s="9" t="n">
        <v>23.5826</v>
      </c>
      <c r="P118" s="9" t="n">
        <v>25.5984</v>
      </c>
      <c r="Q118" s="9" t="n">
        <v>25.9432</v>
      </c>
      <c r="R118" s="9" t="n">
        <v>24.4448</v>
      </c>
      <c r="S118" s="9" t="n">
        <v>26.5343</v>
      </c>
      <c r="T118" s="9" t="n">
        <v>26.8917</v>
      </c>
      <c r="U118" s="9" t="n">
        <v>31</v>
      </c>
    </row>
    <row r="119">
      <c r="A119" s="10" t="n">
        <v>45809</v>
      </c>
      <c r="B119" s="11" t="n">
        <v>131.1393</v>
      </c>
      <c r="C119" s="11" t="n">
        <v>99.994</v>
      </c>
      <c r="D119" s="11" t="n">
        <v>31.1453</v>
      </c>
      <c r="E119" s="11" t="n">
        <v>38.8023</v>
      </c>
      <c r="F119" s="11" t="n">
        <v>35.7296</v>
      </c>
      <c r="G119" s="11" t="n">
        <v>105.2235</v>
      </c>
      <c r="H119" s="11" t="n">
        <v>29.1694</v>
      </c>
      <c r="I119" s="11" t="n">
        <v>134.3929</v>
      </c>
      <c r="J119" s="11" t="n">
        <v>42.9833</v>
      </c>
      <c r="K119" s="11" t="n">
        <v>19.6804</v>
      </c>
      <c r="L119" s="11" t="n">
        <v>62.6637</v>
      </c>
      <c r="M119" s="11" t="n">
        <v>1.0248</v>
      </c>
      <c r="N119" s="11" t="n">
        <v>1.6149</v>
      </c>
      <c r="O119" s="11" t="n">
        <v>23.554</v>
      </c>
      <c r="P119" s="11" t="n">
        <v>25.5643</v>
      </c>
      <c r="Q119" s="11" t="n">
        <v>25.9863</v>
      </c>
      <c r="R119" s="11" t="n">
        <v>24.3468</v>
      </c>
      <c r="S119" s="11" t="n">
        <v>26.4248</v>
      </c>
      <c r="T119" s="11" t="n">
        <v>26.861</v>
      </c>
      <c r="U119" s="11" t="n">
        <v>30</v>
      </c>
    </row>
    <row r="120">
      <c r="A120" s="8" t="n">
        <v>45839</v>
      </c>
      <c r="B120" s="9" t="n">
        <v>131.5998</v>
      </c>
      <c r="C120" s="9" t="n">
        <v>100.4373</v>
      </c>
      <c r="D120" s="9" t="n">
        <v>31.1625</v>
      </c>
      <c r="E120" s="9" t="n">
        <v>39.1884</v>
      </c>
      <c r="F120" s="9" t="n">
        <v>36.0316</v>
      </c>
      <c r="G120" s="9" t="n">
        <v>105.4903</v>
      </c>
      <c r="H120" s="9" t="n">
        <v>24.9421</v>
      </c>
      <c r="I120" s="9" t="n">
        <v>130.4324</v>
      </c>
      <c r="J120" s="9" t="n">
        <v>43.729</v>
      </c>
      <c r="K120" s="9" t="n">
        <v>14.4787</v>
      </c>
      <c r="L120" s="9" t="n">
        <v>58.2076</v>
      </c>
      <c r="M120" s="9" t="n">
        <v>0.9911</v>
      </c>
      <c r="N120" s="9" t="n">
        <v>1.4853</v>
      </c>
      <c r="O120" s="9" t="n">
        <v>23.5723</v>
      </c>
      <c r="P120" s="9" t="n">
        <v>25.6377</v>
      </c>
      <c r="Q120" s="9" t="n">
        <v>26.2352</v>
      </c>
      <c r="R120" s="9" t="n">
        <v>24.3008</v>
      </c>
      <c r="S120" s="9" t="n">
        <v>26.4301</v>
      </c>
      <c r="T120" s="9" t="n">
        <v>27.046</v>
      </c>
      <c r="U120" s="9" t="n">
        <v>31</v>
      </c>
    </row>
    <row r="121">
      <c r="A121" s="10" t="n">
        <v>45870</v>
      </c>
      <c r="B121" s="11" t="n">
        <v>133.4339</v>
      </c>
      <c r="C121" s="11" t="n">
        <v>101.2901</v>
      </c>
      <c r="D121" s="11" t="n">
        <v>32.1437</v>
      </c>
      <c r="E121" s="11" t="n">
        <v>38.3146</v>
      </c>
      <c r="F121" s="11" t="n">
        <v>34.8632</v>
      </c>
      <c r="G121" s="11" t="n">
        <v>104.59</v>
      </c>
      <c r="H121" s="11" t="n">
        <v>25.3712</v>
      </c>
      <c r="I121" s="11" t="n">
        <v>129.9611</v>
      </c>
      <c r="J121" s="11" t="n">
        <v>44.9654</v>
      </c>
      <c r="K121" s="11" t="n">
        <v>20.1098</v>
      </c>
      <c r="L121" s="11" t="n">
        <v>65.0753</v>
      </c>
      <c r="M121" s="11" t="n">
        <v>0.974</v>
      </c>
      <c r="N121" s="11" t="n">
        <v>1.6984</v>
      </c>
      <c r="O121" s="11" t="n">
        <v>23.5706</v>
      </c>
      <c r="P121" s="11" t="n">
        <v>25.6774</v>
      </c>
      <c r="Q121" s="11" t="n">
        <v>26.2371</v>
      </c>
      <c r="R121" s="11" t="n">
        <v>24.2841</v>
      </c>
      <c r="S121" s="11" t="n">
        <v>26.4547</v>
      </c>
      <c r="T121" s="11" t="n">
        <v>27.0313</v>
      </c>
      <c r="U121" s="11" t="n">
        <v>31</v>
      </c>
    </row>
    <row r="122">
      <c r="A122" s="8" t="n">
        <v>45901</v>
      </c>
      <c r="B122" s="9" t="n">
        <v>133.4471</v>
      </c>
      <c r="C122" s="9" t="n">
        <v>101.539</v>
      </c>
      <c r="D122" s="9" t="n">
        <v>31.9081</v>
      </c>
      <c r="E122" s="9" t="n">
        <v>38.2247</v>
      </c>
      <c r="F122" s="9" t="n">
        <v>34.6244</v>
      </c>
      <c r="G122" s="9" t="n">
        <v>110.8391</v>
      </c>
      <c r="H122" s="9" t="n">
        <v>28.3215</v>
      </c>
      <c r="I122" s="9" t="n">
        <v>139.1606</v>
      </c>
      <c r="J122" s="9" t="n">
        <v>45.8578</v>
      </c>
      <c r="K122" s="9" t="n">
        <v>18.5605</v>
      </c>
      <c r="L122" s="9" t="n">
        <v>64.4183</v>
      </c>
      <c r="M122" s="9" t="n">
        <v>1.0428</v>
      </c>
      <c r="N122" s="9" t="n">
        <v>1.6853</v>
      </c>
      <c r="O122" s="9" t="n">
        <v>23.5863</v>
      </c>
      <c r="P122" s="9" t="n">
        <v>25.716</v>
      </c>
      <c r="Q122" s="9" t="n">
        <v>26.22</v>
      </c>
      <c r="R122" s="9" t="n">
        <v>24.2435</v>
      </c>
      <c r="S122" s="9" t="n">
        <v>26.4325</v>
      </c>
      <c r="T122" s="9" t="n">
        <v>26.9505</v>
      </c>
      <c r="U122" s="9" t="n">
        <v>30</v>
      </c>
    </row>
    <row r="123">
      <c r="A123" s="10" t="n">
        <v>45931</v>
      </c>
      <c r="B123" s="11" t="n">
        <v>133.2887</v>
      </c>
      <c r="C123" s="11" t="n">
        <v>101.7559</v>
      </c>
      <c r="D123" s="11" t="n">
        <v>31.5328</v>
      </c>
      <c r="E123" s="11" t="n">
        <v>40.5924</v>
      </c>
      <c r="F123" s="11" t="n">
        <v>36.8765</v>
      </c>
      <c r="G123" s="11" t="n">
        <v>109.8423</v>
      </c>
      <c r="H123" s="11" t="n">
        <v>28.8902</v>
      </c>
      <c r="I123" s="11" t="n">
        <v>138.7325</v>
      </c>
      <c r="J123" s="11" t="n">
        <v>46.2174</v>
      </c>
      <c r="K123" s="11" t="n">
        <v>19.2071</v>
      </c>
      <c r="L123" s="11" t="n">
        <v>65.42449999999999</v>
      </c>
      <c r="M123" s="11" t="n">
        <v>1.0408</v>
      </c>
      <c r="N123" s="11" t="n">
        <v>1.6117</v>
      </c>
      <c r="O123" s="11" t="n">
        <v>23.5916</v>
      </c>
      <c r="P123" s="11" t="n">
        <v>25.7584</v>
      </c>
      <c r="Q123" s="11" t="n">
        <v>26.2306</v>
      </c>
      <c r="R123" s="11" t="n">
        <v>24.1615</v>
      </c>
      <c r="S123" s="11" t="n">
        <v>26.3806</v>
      </c>
      <c r="T123" s="11" t="n">
        <v>26.8643</v>
      </c>
      <c r="U123" s="11" t="n">
        <v>31</v>
      </c>
    </row>
    <row r="124">
      <c r="A124" s="8" t="n">
        <v>45962</v>
      </c>
      <c r="B124" s="9" t="n">
        <v>133.2576</v>
      </c>
      <c r="C124" s="9" t="n">
        <v>101.5526</v>
      </c>
      <c r="D124" s="9" t="n">
        <v>31.705</v>
      </c>
      <c r="E124" s="9" t="n">
        <v>40.8273</v>
      </c>
      <c r="F124" s="9" t="n">
        <v>37.0268</v>
      </c>
      <c r="G124" s="9" t="n">
        <v>110.2017</v>
      </c>
      <c r="H124" s="9" t="n">
        <v>27.1356</v>
      </c>
      <c r="I124" s="9" t="n">
        <v>137.3374</v>
      </c>
      <c r="J124" s="9" t="n">
        <v>45.5747</v>
      </c>
      <c r="K124" s="9" t="n">
        <v>19.4505</v>
      </c>
      <c r="L124" s="9" t="n">
        <v>65.0252</v>
      </c>
      <c r="M124" s="9" t="n">
        <v>1.0306</v>
      </c>
      <c r="N124" s="9" t="n">
        <v>1.5927</v>
      </c>
      <c r="O124" s="9" t="n">
        <v>23.5917</v>
      </c>
      <c r="P124" s="9" t="n">
        <v>25.762</v>
      </c>
      <c r="Q124" s="9" t="n">
        <v>26.2957</v>
      </c>
      <c r="R124" s="9" t="n">
        <v>24.0028</v>
      </c>
      <c r="S124" s="9" t="n">
        <v>26.211</v>
      </c>
      <c r="T124" s="9" t="n">
        <v>26.7539</v>
      </c>
      <c r="U124" s="9" t="n">
        <v>30</v>
      </c>
    </row>
    <row r="125">
      <c r="A125" s="10" t="n">
        <v>45992</v>
      </c>
      <c r="B125" s="11" t="n">
        <v>135.9107</v>
      </c>
      <c r="C125" s="11" t="n">
        <v>103.3434</v>
      </c>
      <c r="D125" s="11" t="n">
        <v>32.5673</v>
      </c>
      <c r="E125" s="11" t="n">
        <v>38.6641</v>
      </c>
      <c r="F125" s="11" t="n">
        <v>34.8908</v>
      </c>
      <c r="G125" s="11" t="n">
        <v>116.8879</v>
      </c>
      <c r="H125" s="11" t="n">
        <v>29.9143</v>
      </c>
      <c r="I125" s="11" t="n">
        <v>146.8022</v>
      </c>
      <c r="J125" s="11" t="n">
        <v>44.0042</v>
      </c>
      <c r="K125" s="11" t="n">
        <v>18.2193</v>
      </c>
      <c r="L125" s="11" t="n">
        <v>62.2235</v>
      </c>
      <c r="M125" s="11" t="n">
        <v>1.0801</v>
      </c>
      <c r="N125" s="11" t="n">
        <v>1.6093</v>
      </c>
      <c r="O125" s="11" t="n">
        <v>23.6006</v>
      </c>
      <c r="P125" s="11" t="n">
        <v>25.8023</v>
      </c>
      <c r="Q125" s="11" t="n">
        <v>26.4168</v>
      </c>
      <c r="R125" s="11" t="n">
        <v>23.9453</v>
      </c>
      <c r="S125" s="11" t="n">
        <v>26.1791</v>
      </c>
      <c r="T125" s="11" t="n">
        <v>26.8026</v>
      </c>
      <c r="U125" s="11" t="n">
        <v>31</v>
      </c>
    </row>
    <row r="126">
      <c r="A126" s="8" t="n">
        <v>46023</v>
      </c>
      <c r="B126" s="9" t="n">
        <v>127.4628</v>
      </c>
      <c r="C126" s="9" t="n">
        <v>97.0086</v>
      </c>
      <c r="D126" s="9" t="n">
        <v>30.4543</v>
      </c>
      <c r="E126" s="9" t="n">
        <v>38.7593</v>
      </c>
      <c r="F126" s="9" t="n">
        <v>35.0387</v>
      </c>
      <c r="G126" s="9" t="n">
        <v>103.2029</v>
      </c>
      <c r="H126" s="9" t="n">
        <v>27.7027</v>
      </c>
      <c r="I126" s="9" t="n">
        <v>130.9057</v>
      </c>
      <c r="J126" s="9" t="n">
        <v>40.4449</v>
      </c>
      <c r="K126" s="9" t="n">
        <v>19.2017</v>
      </c>
      <c r="L126" s="9" t="n">
        <v>59.6466</v>
      </c>
      <c r="M126" s="9" t="n">
        <v>1.027</v>
      </c>
      <c r="N126" s="9" t="n">
        <v>1.5389</v>
      </c>
      <c r="O126" s="9" t="n">
        <v>23.5835</v>
      </c>
      <c r="P126" s="9" t="n">
        <v>25.77</v>
      </c>
      <c r="Q126" s="9" t="n">
        <v>26.3981</v>
      </c>
      <c r="R126" s="9" t="n">
        <v>23.837</v>
      </c>
      <c r="S126" s="9" t="n">
        <v>26.0469</v>
      </c>
      <c r="T126" s="9" t="n">
        <v>26.6817</v>
      </c>
      <c r="U126" s="9" t="n">
        <v>31</v>
      </c>
    </row>
    <row r="127">
      <c r="A127" s="10" t="n">
        <v>46054</v>
      </c>
      <c r="B127" s="11" t="n">
        <v>123.9047</v>
      </c>
      <c r="C127" s="11" t="n">
        <v>94.2239</v>
      </c>
      <c r="D127" s="11" t="n">
        <v>29.6809</v>
      </c>
      <c r="E127" s="11" t="n">
        <v>38.1642</v>
      </c>
      <c r="F127" s="11" t="n">
        <v>34.5253</v>
      </c>
      <c r="G127" s="11" t="n">
        <v>103.8745</v>
      </c>
      <c r="H127" s="11" t="n">
        <v>32.201</v>
      </c>
      <c r="I127" s="11" t="n">
        <v>136.0755</v>
      </c>
      <c r="J127" s="11" t="n">
        <v>41.2685</v>
      </c>
      <c r="K127" s="11" t="n">
        <v>21.0025</v>
      </c>
      <c r="L127" s="11" t="n">
        <v>62.271</v>
      </c>
      <c r="M127" s="11" t="n">
        <v>1.0982</v>
      </c>
      <c r="N127" s="11" t="n">
        <v>1.6317</v>
      </c>
      <c r="O127" s="11" t="n">
        <v>23.5561</v>
      </c>
      <c r="P127" s="11" t="n">
        <v>25.7321</v>
      </c>
      <c r="Q127" s="11" t="n">
        <v>26.3743</v>
      </c>
      <c r="R127" s="11" t="n">
        <v>23.6906</v>
      </c>
      <c r="S127" s="11" t="n">
        <v>25.8791</v>
      </c>
      <c r="T127" s="11" t="n">
        <v>26.5249</v>
      </c>
      <c r="U127" s="11" t="n">
        <v>28</v>
      </c>
    </row>
    <row r="128">
      <c r="A128" s="8" t="n">
        <v>46082</v>
      </c>
      <c r="B128" s="9" t="n">
        <v>133.8936</v>
      </c>
      <c r="C128" s="9" t="n">
        <v>103.0462</v>
      </c>
      <c r="D128" s="9" t="n">
        <v>30.8474</v>
      </c>
      <c r="E128" s="9" t="n">
        <v>42.1273</v>
      </c>
      <c r="F128" s="9" t="n">
        <v>38.0429</v>
      </c>
      <c r="G128" s="9" t="n">
        <v>112.8249</v>
      </c>
      <c r="H128" s="9" t="n">
        <v>30.2585</v>
      </c>
      <c r="I128" s="9" t="n">
        <v>143.0833</v>
      </c>
      <c r="J128" s="9" t="n">
        <v>51.2618</v>
      </c>
      <c r="K128" s="9" t="n">
        <v>14.909</v>
      </c>
      <c r="L128" s="9" t="n">
        <v>66.1708</v>
      </c>
      <c r="M128" s="9" t="n">
        <v>1.0686</v>
      </c>
      <c r="N128" s="9" t="n">
        <v>1.5707</v>
      </c>
      <c r="O128" s="9" t="n">
        <v>23.6294</v>
      </c>
      <c r="P128" s="9" t="n">
        <v>26.6542</v>
      </c>
      <c r="Q128" s="9" t="n">
        <v>27.871</v>
      </c>
      <c r="R128" s="9" t="n">
        <v>23.5623</v>
      </c>
      <c r="S128" s="9" t="n">
        <v>26.5786</v>
      </c>
      <c r="T128" s="9" t="n">
        <v>27.7919</v>
      </c>
      <c r="U128" s="9" t="n">
        <v>31</v>
      </c>
    </row>
    <row r="129">
      <c r="A129" s="10" t="n">
        <v>46113</v>
      </c>
      <c r="B129" s="11" t="n">
        <v>133.5904</v>
      </c>
      <c r="C129" s="11" t="n">
        <v>106.0956</v>
      </c>
      <c r="D129" s="11" t="n">
        <v>27.4947</v>
      </c>
      <c r="E129" s="11" t="n">
        <v>41.926</v>
      </c>
      <c r="F129" s="11" t="n">
        <v>37.8749</v>
      </c>
      <c r="G129" s="11" t="n">
        <v>117.5322</v>
      </c>
      <c r="H129" s="11" t="n">
        <v>15.51</v>
      </c>
      <c r="I129" s="11" t="n">
        <v>133.0422</v>
      </c>
      <c r="J129" s="11" t="n">
        <v>51.6001</v>
      </c>
      <c r="K129" s="11" t="n">
        <v>13.6429</v>
      </c>
      <c r="L129" s="11" t="n">
        <v>65.24299999999999</v>
      </c>
      <c r="M129" s="11" t="n">
        <v>0.9959</v>
      </c>
      <c r="N129" s="11" t="n">
        <v>1.5561</v>
      </c>
      <c r="O129" s="11" t="n">
        <v>23.6843</v>
      </c>
      <c r="P129" s="11" t="n">
        <v>28.285</v>
      </c>
      <c r="Q129" s="11" t="n">
        <v>28.536</v>
      </c>
      <c r="R129" s="11" t="n">
        <v>23.5706</v>
      </c>
      <c r="S129" s="11" t="n">
        <v>28.1492</v>
      </c>
      <c r="T129" s="11" t="n">
        <v>28.399</v>
      </c>
      <c r="U129" s="11" t="n">
        <v>30</v>
      </c>
    </row>
    <row r="130">
      <c r="A130" s="8" t="n">
        <v>46143</v>
      </c>
      <c r="B130" s="9" t="n">
        <v>140.1756</v>
      </c>
      <c r="C130" s="9" t="n">
        <v>111.6432</v>
      </c>
      <c r="D130" s="9" t="n">
        <v>28.5324</v>
      </c>
      <c r="E130" s="9" t="n">
        <v>43.5747</v>
      </c>
      <c r="F130" s="9" t="n">
        <v>39.2941</v>
      </c>
      <c r="G130" s="9" t="n">
        <v>122.1913</v>
      </c>
      <c r="H130" s="9" t="n">
        <v>12.5977</v>
      </c>
      <c r="I130" s="9" t="n">
        <v>134.789</v>
      </c>
      <c r="J130" s="9" t="n">
        <v>57.0502</v>
      </c>
      <c r="K130" s="9" t="n">
        <v>11.5016</v>
      </c>
      <c r="L130" s="9" t="n">
        <v>68.5518</v>
      </c>
      <c r="M130" s="9" t="n">
        <v>0.9616</v>
      </c>
      <c r="N130" s="9" t="n">
        <v>1.5732</v>
      </c>
      <c r="O130" s="9" t="n">
        <v>23.67</v>
      </c>
      <c r="P130" s="9" t="n">
        <v>28.4255</v>
      </c>
      <c r="Q130" s="9" t="n">
        <v>27.5761</v>
      </c>
      <c r="R130" s="9" t="n">
        <v>23.6056</v>
      </c>
      <c r="S130" s="9" t="n">
        <v>28.3481</v>
      </c>
      <c r="T130" s="9" t="n">
        <v>27.5011</v>
      </c>
      <c r="U130" s="9" t="n">
        <v>31</v>
      </c>
    </row>
    <row r="131">
      <c r="A131" s="10" t="n">
        <v>46174</v>
      </c>
      <c r="B131" s="11" t="n">
        <v>136.0174</v>
      </c>
      <c r="C131" s="11" t="n">
        <v>109.1391</v>
      </c>
      <c r="D131" s="11" t="n">
        <v>26.8783</v>
      </c>
      <c r="E131" s="11" t="n">
        <v>43.1871</v>
      </c>
      <c r="F131" s="11" t="n">
        <v>38.8106</v>
      </c>
      <c r="G131" s="11" t="n">
        <v>124.8987</v>
      </c>
      <c r="H131" s="11" t="n"/>
      <c r="I131" s="11" t="n"/>
      <c r="J131" s="11" t="n">
        <v>55.9402</v>
      </c>
      <c r="K131" s="11" t="n"/>
      <c r="L131" s="11" t="n"/>
      <c r="M131" s="11" t="n"/>
      <c r="N131" s="11" t="n"/>
      <c r="O131" s="11" t="n">
        <v>23.68</v>
      </c>
      <c r="P131" s="11" t="n">
        <v>28.4743</v>
      </c>
      <c r="Q131" s="11" t="n">
        <v>27.159</v>
      </c>
      <c r="R131" s="11" t="n">
        <v>23.68</v>
      </c>
      <c r="S131" s="11" t="n">
        <v>28.4743</v>
      </c>
      <c r="T131" s="11" t="n">
        <v>27.159</v>
      </c>
      <c r="U131" s="11" t="n">
        <v>30</v>
      </c>
    </row>
    <row r="132">
      <c r="A132" s="8" t="n">
        <v>46204</v>
      </c>
      <c r="B132" s="9" t="n">
        <v>129.4749</v>
      </c>
      <c r="C132" s="9" t="n">
        <v>104.3277</v>
      </c>
      <c r="D132" s="9" t="n">
        <v>25.1472</v>
      </c>
      <c r="E132" s="9" t="n">
        <v>40.7783</v>
      </c>
      <c r="F132" s="9" t="n">
        <v>36.5315</v>
      </c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>
        <v>23.6871</v>
      </c>
      <c r="P132" s="9" t="n">
        <v>28.4887</v>
      </c>
      <c r="Q132" s="9" t="n">
        <v>27.0745</v>
      </c>
      <c r="R132" s="9" t="n">
        <v>23.6871</v>
      </c>
      <c r="S132" s="9" t="n">
        <v>28.4887</v>
      </c>
      <c r="T132" s="9" t="n">
        <v>27.0745</v>
      </c>
      <c r="U132" s="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Venta en la bomba contra suministro registrado</t>
        </is>
      </c>
    </row>
    <row r="2">
      <c r="A2" s="2" t="inlineStr">
        <is>
          <t>Promedio enero-junio de cada año, millones de litros diarios</t>
        </is>
      </c>
    </row>
    <row r="5">
      <c r="A5" s="12" t="inlineStr">
        <is>
          <t>GASOLINAS</t>
        </is>
      </c>
    </row>
    <row r="6">
      <c r="A6" s="6" t="inlineStr">
        <is>
          <t>Año</t>
        </is>
      </c>
      <c r="B6" s="7" t="inlineStr">
        <is>
          <t>Venta en la bomba</t>
        </is>
      </c>
      <c r="C6" s="7" t="inlineStr">
        <is>
          <t>Oferta SIE</t>
        </is>
      </c>
      <c r="D6" s="7" t="inlineStr">
        <is>
          <t>Ventas Pemex</t>
        </is>
      </c>
      <c r="E6" s="7" t="inlineStr">
        <is>
          <t>Import. privada</t>
        </is>
      </c>
      <c r="F6" s="6" t="inlineStr">
        <is>
          <t>Ratio SIE/Exp</t>
        </is>
      </c>
      <c r="G6" s="6" t="inlineStr">
        <is>
          <t>Δ Venta en bomba %</t>
        </is>
      </c>
      <c r="H6" s="6" t="inlineStr">
        <is>
          <t>Δ Oferta %</t>
        </is>
      </c>
      <c r="I6" s="6" t="inlineStr">
        <is>
          <t>Brecha (mld)</t>
        </is>
      </c>
    </row>
    <row r="7">
      <c r="A7" s="13" t="n">
        <v>2017</v>
      </c>
      <c r="B7" s="11" t="n">
        <v>107.157</v>
      </c>
      <c r="C7" s="11" t="n">
        <v>124.944</v>
      </c>
      <c r="D7" s="11" t="n">
        <v>124.894</v>
      </c>
      <c r="E7" s="11" t="n">
        <v>0.05</v>
      </c>
      <c r="F7" s="14">
        <f>IFERROR(C7/B7,"")</f>
        <v/>
      </c>
      <c r="G7" s="15" t="n"/>
      <c r="H7" s="15" t="n"/>
      <c r="I7" s="11" t="n"/>
    </row>
    <row r="8">
      <c r="A8" s="16" t="n">
        <v>2018</v>
      </c>
      <c r="B8" s="9" t="n">
        <v>107.756</v>
      </c>
      <c r="C8" s="9" t="n">
        <v>126.464</v>
      </c>
      <c r="D8" s="9" t="n">
        <v>124.558</v>
      </c>
      <c r="E8" s="9" t="n">
        <v>1.906</v>
      </c>
      <c r="F8" s="14">
        <f>IFERROR(C8/B8,"")</f>
        <v/>
      </c>
      <c r="G8" s="15">
        <f>IFERROR(B8/B7-1,"")</f>
        <v/>
      </c>
      <c r="H8" s="15">
        <f>IFERROR(C8/C7-1,"")</f>
        <v/>
      </c>
      <c r="I8" s="11">
        <f>IFERROR((C8-C7)-(B8-B7),"")</f>
        <v/>
      </c>
    </row>
    <row r="9">
      <c r="A9" s="13" t="n">
        <v>2019</v>
      </c>
      <c r="B9" s="11" t="n">
        <v>115.205</v>
      </c>
      <c r="C9" s="11" t="n">
        <v>125.851</v>
      </c>
      <c r="D9" s="11" t="n">
        <v>115.87</v>
      </c>
      <c r="E9" s="11" t="n">
        <v>9.981</v>
      </c>
      <c r="F9" s="14">
        <f>IFERROR(C9/B9,"")</f>
        <v/>
      </c>
      <c r="G9" s="15">
        <f>IFERROR(B9/B8-1,"")</f>
        <v/>
      </c>
      <c r="H9" s="15">
        <f>IFERROR(C9/C8-1,"")</f>
        <v/>
      </c>
      <c r="I9" s="11">
        <f>IFERROR((C9-C8)-(B9-B8),"")</f>
        <v/>
      </c>
    </row>
    <row r="10">
      <c r="A10" s="16" t="n">
        <v>2020</v>
      </c>
      <c r="B10" s="9" t="n">
        <v>100.002</v>
      </c>
      <c r="C10" s="9" t="n">
        <v>107.226</v>
      </c>
      <c r="D10" s="9" t="n">
        <v>91.271</v>
      </c>
      <c r="E10" s="9" t="n">
        <v>15.956</v>
      </c>
      <c r="F10" s="14">
        <f>IFERROR(C10/B10,"")</f>
        <v/>
      </c>
      <c r="G10" s="15">
        <f>IFERROR(B10/B9-1,"")</f>
        <v/>
      </c>
      <c r="H10" s="15">
        <f>IFERROR(C10/C9-1,"")</f>
        <v/>
      </c>
      <c r="I10" s="11">
        <f>IFERROR((C10-C9)-(B10-B9),"")</f>
        <v/>
      </c>
    </row>
    <row r="11">
      <c r="A11" s="13" t="n">
        <v>2021</v>
      </c>
      <c r="B11" s="11" t="n">
        <v>113.287</v>
      </c>
      <c r="C11" s="11" t="n">
        <v>113.724</v>
      </c>
      <c r="D11" s="11" t="n">
        <v>88.27500000000001</v>
      </c>
      <c r="E11" s="11" t="n">
        <v>25.449</v>
      </c>
      <c r="F11" s="14">
        <f>IFERROR(C11/B11,"")</f>
        <v/>
      </c>
      <c r="G11" s="15">
        <f>IFERROR(B11/B10-1,"")</f>
        <v/>
      </c>
      <c r="H11" s="15">
        <f>IFERROR(C11/C10-1,"")</f>
        <v/>
      </c>
      <c r="I11" s="11">
        <f>IFERROR((C11-C10)-(B11-B10),"")</f>
        <v/>
      </c>
    </row>
    <row r="12">
      <c r="A12" s="16" t="n">
        <v>2022</v>
      </c>
      <c r="B12" s="9" t="n">
        <v>124.553</v>
      </c>
      <c r="C12" s="9" t="n">
        <v>125.437</v>
      </c>
      <c r="D12" s="9" t="n">
        <v>105.952</v>
      </c>
      <c r="E12" s="9" t="n">
        <v>19.485</v>
      </c>
      <c r="F12" s="14">
        <f>IFERROR(C12/B12,"")</f>
        <v/>
      </c>
      <c r="G12" s="15">
        <f>IFERROR(B12/B11-1,"")</f>
        <v/>
      </c>
      <c r="H12" s="15">
        <f>IFERROR(C12/C11-1,"")</f>
        <v/>
      </c>
      <c r="I12" s="11">
        <f>IFERROR((C12-C11)-(B12-B11),"")</f>
        <v/>
      </c>
    </row>
    <row r="13">
      <c r="A13" s="13" t="n">
        <v>2023</v>
      </c>
      <c r="B13" s="11" t="n">
        <v>129.134</v>
      </c>
      <c r="C13" s="11" t="n">
        <v>123.328</v>
      </c>
      <c r="D13" s="11" t="n">
        <v>101.949</v>
      </c>
      <c r="E13" s="11" t="n">
        <v>21.38</v>
      </c>
      <c r="F13" s="14">
        <f>IFERROR(C13/B13,"")</f>
        <v/>
      </c>
      <c r="G13" s="15">
        <f>IFERROR(B13/B12-1,"")</f>
        <v/>
      </c>
      <c r="H13" s="15">
        <f>IFERROR(C13/C12-1,"")</f>
        <v/>
      </c>
      <c r="I13" s="11">
        <f>IFERROR((C13-C12)-(B13-B12),"")</f>
        <v/>
      </c>
    </row>
    <row r="14">
      <c r="A14" s="16" t="n">
        <v>2024</v>
      </c>
      <c r="B14" s="9" t="n">
        <v>131.696</v>
      </c>
      <c r="C14" s="9" t="n">
        <v>125.378</v>
      </c>
      <c r="D14" s="9" t="n">
        <v>105.595</v>
      </c>
      <c r="E14" s="9" t="n">
        <v>19.783</v>
      </c>
      <c r="F14" s="14">
        <f>IFERROR(C14/B14,"")</f>
        <v/>
      </c>
      <c r="G14" s="15">
        <f>IFERROR(B14/B13-1,"")</f>
        <v/>
      </c>
      <c r="H14" s="15">
        <f>IFERROR(C14/C13-1,"")</f>
        <v/>
      </c>
      <c r="I14" s="11">
        <f>IFERROR((C14-C13)-(B14-B13),"")</f>
        <v/>
      </c>
    </row>
    <row r="15">
      <c r="A15" s="13" t="n">
        <v>2025</v>
      </c>
      <c r="B15" s="11" t="n">
        <v>129.033</v>
      </c>
      <c r="C15" s="11" t="n">
        <v>125.544</v>
      </c>
      <c r="D15" s="11" t="n">
        <v>104.827</v>
      </c>
      <c r="E15" s="11" t="n">
        <v>20.717</v>
      </c>
      <c r="F15" s="14">
        <f>IFERROR(C15/B15,"")</f>
        <v/>
      </c>
      <c r="G15" s="15">
        <f>IFERROR(B15/B14-1,"")</f>
        <v/>
      </c>
      <c r="H15" s="15">
        <f>IFERROR(C15/C14-1,"")</f>
        <v/>
      </c>
      <c r="I15" s="11">
        <f>IFERROR((C15-C14)-(B15-B14),"")</f>
        <v/>
      </c>
    </row>
    <row r="16">
      <c r="A16" s="16" t="n">
        <v>2026</v>
      </c>
      <c r="B16" s="9" t="n">
        <v>132.507</v>
      </c>
      <c r="C16" s="9" t="n">
        <v>135.579</v>
      </c>
      <c r="D16" s="9" t="n">
        <v>114.087</v>
      </c>
      <c r="E16" s="9" t="n">
        <v>23.654</v>
      </c>
      <c r="F16" s="14">
        <f>IFERROR(C16/B16,"")</f>
        <v/>
      </c>
      <c r="G16" s="15">
        <f>IFERROR(B16/B15-1,"")</f>
        <v/>
      </c>
      <c r="H16" s="15">
        <f>IFERROR(C16/C15-1,"")</f>
        <v/>
      </c>
      <c r="I16" s="11">
        <f>IFERROR((C16-C15)-(B16-B15),"")</f>
        <v/>
      </c>
    </row>
    <row r="19">
      <c r="A19" s="12" t="inlineStr">
        <is>
          <t>DIÉSEL</t>
        </is>
      </c>
    </row>
    <row r="20">
      <c r="A20" s="6" t="inlineStr">
        <is>
          <t>Año</t>
        </is>
      </c>
      <c r="B20" s="7" t="inlineStr">
        <is>
          <t>Venta en la bomba</t>
        </is>
      </c>
      <c r="C20" s="7" t="inlineStr">
        <is>
          <t>Oferta SIE</t>
        </is>
      </c>
      <c r="D20" s="7" t="inlineStr">
        <is>
          <t>Ventas Pemex</t>
        </is>
      </c>
      <c r="E20" s="7" t="inlineStr">
        <is>
          <t>Import. privada</t>
        </is>
      </c>
      <c r="F20" s="6" t="inlineStr">
        <is>
          <t>Ratio SIE/Exp</t>
        </is>
      </c>
      <c r="G20" s="6" t="inlineStr">
        <is>
          <t>Δ Venta en bomba %</t>
        </is>
      </c>
      <c r="H20" s="6" t="inlineStr">
        <is>
          <t>Δ Oferta %</t>
        </is>
      </c>
      <c r="I20" s="6" t="inlineStr">
        <is>
          <t>Brecha (mld)</t>
        </is>
      </c>
    </row>
    <row r="21">
      <c r="A21" s="13" t="n">
        <v>2017</v>
      </c>
      <c r="B21" s="11" t="n">
        <v>38.063</v>
      </c>
      <c r="C21" s="11" t="n">
        <v>61.406</v>
      </c>
      <c r="D21" s="11" t="n">
        <v>60.431</v>
      </c>
      <c r="E21" s="11" t="n">
        <v>0.975</v>
      </c>
      <c r="F21" s="14">
        <f>IFERROR(C21/B21,"")</f>
        <v/>
      </c>
      <c r="G21" s="15" t="n"/>
      <c r="H21" s="15" t="n"/>
      <c r="I21" s="11" t="n"/>
    </row>
    <row r="22">
      <c r="A22" s="16" t="n">
        <v>2018</v>
      </c>
      <c r="B22" s="9" t="n">
        <v>36.474</v>
      </c>
      <c r="C22" s="9" t="n">
        <v>61.942</v>
      </c>
      <c r="D22" s="9" t="n">
        <v>54.05</v>
      </c>
      <c r="E22" s="9" t="n">
        <v>7.892</v>
      </c>
      <c r="F22" s="14">
        <f>IFERROR(C22/B22,"")</f>
        <v/>
      </c>
      <c r="G22" s="15">
        <f>IFERROR(B22/B21-1,"")</f>
        <v/>
      </c>
      <c r="H22" s="15">
        <f>IFERROR(C22/C21-1,"")</f>
        <v/>
      </c>
      <c r="I22" s="11">
        <f>IFERROR((C22-C21)-(B22-B21),"")</f>
        <v/>
      </c>
    </row>
    <row r="23">
      <c r="A23" s="13" t="n">
        <v>2019</v>
      </c>
      <c r="B23" s="11" t="n">
        <v>37.169</v>
      </c>
      <c r="C23" s="11" t="n">
        <v>61.598</v>
      </c>
      <c r="D23" s="11" t="n">
        <v>48.735</v>
      </c>
      <c r="E23" s="11" t="n">
        <v>12.863</v>
      </c>
      <c r="F23" s="14">
        <f>IFERROR(C23/B23,"")</f>
        <v/>
      </c>
      <c r="G23" s="15">
        <f>IFERROR(B23/B22-1,"")</f>
        <v/>
      </c>
      <c r="H23" s="15">
        <f>IFERROR(C23/C22-1,"")</f>
        <v/>
      </c>
      <c r="I23" s="11">
        <f>IFERROR((C23-C22)-(B23-B22),"")</f>
        <v/>
      </c>
    </row>
    <row r="24">
      <c r="A24" s="16" t="n">
        <v>2020</v>
      </c>
      <c r="B24" s="9" t="n">
        <v>32.461</v>
      </c>
      <c r="C24" s="9" t="n">
        <v>49.636</v>
      </c>
      <c r="D24" s="9" t="n">
        <v>36.474</v>
      </c>
      <c r="E24" s="9" t="n">
        <v>13.162</v>
      </c>
      <c r="F24" s="14">
        <f>IFERROR(C24/B24,"")</f>
        <v/>
      </c>
      <c r="G24" s="15">
        <f>IFERROR(B24/B23-1,"")</f>
        <v/>
      </c>
      <c r="H24" s="15">
        <f>IFERROR(C24/C23-1,"")</f>
        <v/>
      </c>
      <c r="I24" s="11">
        <f>IFERROR((C24-C23)-(B24-B23),"")</f>
        <v/>
      </c>
    </row>
    <row r="25">
      <c r="A25" s="13" t="n">
        <v>2021</v>
      </c>
      <c r="B25" s="11" t="n">
        <v>34.275</v>
      </c>
      <c r="C25" s="11" t="n">
        <v>49.007</v>
      </c>
      <c r="D25" s="11" t="n">
        <v>32.737</v>
      </c>
      <c r="E25" s="11" t="n">
        <v>16.27</v>
      </c>
      <c r="F25" s="14">
        <f>IFERROR(C25/B25,"")</f>
        <v/>
      </c>
      <c r="G25" s="15">
        <f>IFERROR(B25/B24-1,"")</f>
        <v/>
      </c>
      <c r="H25" s="15">
        <f>IFERROR(C25/C24-1,"")</f>
        <v/>
      </c>
      <c r="I25" s="11">
        <f>IFERROR((C25-C24)-(B25-B24),"")</f>
        <v/>
      </c>
    </row>
    <row r="26">
      <c r="A26" s="16" t="n">
        <v>2022</v>
      </c>
      <c r="B26" s="9" t="n">
        <v>38.55</v>
      </c>
      <c r="C26" s="9" t="n">
        <v>58.64</v>
      </c>
      <c r="D26" s="9" t="n">
        <v>46.008</v>
      </c>
      <c r="E26" s="9" t="n">
        <v>12.632</v>
      </c>
      <c r="F26" s="14">
        <f>IFERROR(C26/B26,"")</f>
        <v/>
      </c>
      <c r="G26" s="15">
        <f>IFERROR(B26/B25-1,"")</f>
        <v/>
      </c>
      <c r="H26" s="15">
        <f>IFERROR(C26/C25-1,"")</f>
        <v/>
      </c>
      <c r="I26" s="11">
        <f>IFERROR((C26-C25)-(B26-B25),"")</f>
        <v/>
      </c>
    </row>
    <row r="27">
      <c r="A27" s="13" t="n">
        <v>2023</v>
      </c>
      <c r="B27" s="11" t="n">
        <v>39.764</v>
      </c>
      <c r="C27" s="11" t="n">
        <v>60.076</v>
      </c>
      <c r="D27" s="11" t="n">
        <v>44.765</v>
      </c>
      <c r="E27" s="11" t="n">
        <v>15.311</v>
      </c>
      <c r="F27" s="14">
        <f>IFERROR(C27/B27,"")</f>
        <v/>
      </c>
      <c r="G27" s="15">
        <f>IFERROR(B27/B26-1,"")</f>
        <v/>
      </c>
      <c r="H27" s="15">
        <f>IFERROR(C27/C26-1,"")</f>
        <v/>
      </c>
      <c r="I27" s="11">
        <f>IFERROR((C27-C26)-(B27-B26),"")</f>
        <v/>
      </c>
    </row>
    <row r="28">
      <c r="A28" s="16" t="n">
        <v>2024</v>
      </c>
      <c r="B28" s="9" t="n">
        <v>39.823</v>
      </c>
      <c r="C28" s="9" t="n">
        <v>59.099</v>
      </c>
      <c r="D28" s="9" t="n">
        <v>47.152</v>
      </c>
      <c r="E28" s="9" t="n">
        <v>11.946</v>
      </c>
      <c r="F28" s="14">
        <f>IFERROR(C28/B28,"")</f>
        <v/>
      </c>
      <c r="G28" s="15">
        <f>IFERROR(B28/B27-1,"")</f>
        <v/>
      </c>
      <c r="H28" s="15">
        <f>IFERROR(C28/C27-1,"")</f>
        <v/>
      </c>
      <c r="I28" s="11">
        <f>IFERROR((C28-C27)-(B28-B27),"")</f>
        <v/>
      </c>
    </row>
    <row r="29">
      <c r="A29" s="13" t="n">
        <v>2025</v>
      </c>
      <c r="B29" s="11" t="n">
        <v>38.641</v>
      </c>
      <c r="C29" s="11" t="n">
        <v>56.373</v>
      </c>
      <c r="D29" s="11" t="n">
        <v>42.529</v>
      </c>
      <c r="E29" s="11" t="n">
        <v>13.844</v>
      </c>
      <c r="F29" s="14">
        <f>IFERROR(C29/B29,"")</f>
        <v/>
      </c>
      <c r="G29" s="15">
        <f>IFERROR(B29/B28-1,"")</f>
        <v/>
      </c>
      <c r="H29" s="15">
        <f>IFERROR(C29/C28-1,"")</f>
        <v/>
      </c>
      <c r="I29" s="11">
        <f>IFERROR((C29-C28)-(B29-B28),"")</f>
        <v/>
      </c>
    </row>
    <row r="30">
      <c r="A30" s="16" t="n">
        <v>2026</v>
      </c>
      <c r="B30" s="9" t="n">
        <v>41.29</v>
      </c>
      <c r="C30" s="9" t="n">
        <v>64.377</v>
      </c>
      <c r="D30" s="9" t="n">
        <v>49.594</v>
      </c>
      <c r="E30" s="9" t="n">
        <v>16.052</v>
      </c>
      <c r="F30" s="14">
        <f>IFERROR(C30/B30,"")</f>
        <v/>
      </c>
      <c r="G30" s="15">
        <f>IFERROR(B30/B29-1,"")</f>
        <v/>
      </c>
      <c r="H30" s="15">
        <f>IFERROR(C30/C29-1,"")</f>
        <v/>
      </c>
      <c r="I30" s="11">
        <f>IFERROR((C30-C29)-(B30-B29),"")</f>
        <v/>
      </c>
    </row>
    <row r="33">
      <c r="A33" s="17" t="inlineStr">
        <is>
          <t>LECTURA</t>
        </is>
      </c>
    </row>
    <row r="34">
      <c r="A34" s="4" t="inlineStr">
        <is>
          <t>La columna «Brecha» aísla cuánto del aumento de la oferta registrada NO se explica por más venta en bomba.</t>
        </is>
      </c>
    </row>
    <row r="35">
      <c r="A35" s="4" t="inlineStr">
        <is>
          <t>Un cociente que sube sin que suba la venta en la bomba indica que oferta antes no registrada entró al circuito formal,</t>
        </is>
      </c>
    </row>
    <row r="36">
      <c r="A36" s="4" t="inlineStr">
        <is>
          <t>no que se consuma más combustible.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Balance de oferta de gasolinas</t>
        </is>
      </c>
    </row>
    <row r="2">
      <c r="A2" s="2" t="inlineStr">
        <is>
          <t>Miles de barriles diarios · producción + importación − exportación vs ventas</t>
        </is>
      </c>
    </row>
    <row r="5">
      <c r="A5" s="2" t="inlineStr">
        <is>
          <t>Fuente: Pemex, Dir. de Planeación (elaboración, ventas, exportaciones) · SIE/SENER (importaciones) · CNE (venta en la bomba)</t>
        </is>
      </c>
    </row>
    <row r="6">
      <c r="A6" s="6" t="inlineStr">
        <is>
          <t>Mes</t>
        </is>
      </c>
      <c r="B6" s="7" t="inlineStr">
        <is>
          <t>Producción gasolinas disponibles</t>
        </is>
      </c>
      <c r="C6" s="7" t="inlineStr">
        <is>
          <t>Producción SNR</t>
        </is>
      </c>
      <c r="D6" s="7" t="inlineStr">
        <is>
          <t>Import. gasolinas Pemex</t>
        </is>
      </c>
      <c r="E6" s="7" t="inlineStr">
        <is>
          <t>Import. gasolinas privada</t>
        </is>
      </c>
      <c r="F6" s="7" t="inlineStr">
        <is>
          <t>Export. gasolinas</t>
        </is>
      </c>
      <c r="G6" s="7" t="inlineStr">
        <is>
          <t>Ventas gasolinas Pemex</t>
        </is>
      </c>
      <c r="H6" s="7" t="inlineStr">
        <is>
          <t>Venta en la bomba, gasolinas</t>
        </is>
      </c>
      <c r="I6" s="7" t="inlineStr">
        <is>
          <t>Producción diésel</t>
        </is>
      </c>
      <c r="J6" s="7" t="inlineStr">
        <is>
          <t>Import. diésel Pemex</t>
        </is>
      </c>
      <c r="K6" s="7" t="inlineStr">
        <is>
          <t>Import. diésel privada</t>
        </is>
      </c>
      <c r="L6" s="7" t="inlineStr">
        <is>
          <t>Ventas diésel Pemex</t>
        </is>
      </c>
      <c r="M6" s="7" t="inlineStr">
        <is>
          <t>Venta en la bomba, diésel</t>
        </is>
      </c>
      <c r="N6" s="7" t="inlineStr">
        <is>
          <t>Sobrante circuito Pemex</t>
        </is>
      </c>
      <c r="O6" s="6" t="inlineStr">
        <is>
          <t>Suministro total</t>
        </is>
      </c>
      <c r="P6" s="6" t="inlineStr">
        <is>
          <t>Autosuficiencia %</t>
        </is>
      </c>
      <c r="Q6" s="6" t="inlineStr">
        <is>
          <t>Import/Ventas %</t>
        </is>
      </c>
    </row>
    <row r="7">
      <c r="A7" s="10" t="n">
        <v>42736</v>
      </c>
      <c r="B7" s="11" t="n"/>
      <c r="C7" s="11" t="n">
        <v>304.694</v>
      </c>
      <c r="D7" s="11" t="n">
        <v>556.169</v>
      </c>
      <c r="E7" s="11" t="n">
        <v>0.25</v>
      </c>
      <c r="F7" s="11" t="n">
        <v>57.284</v>
      </c>
      <c r="G7" s="11" t="n">
        <v>749.965</v>
      </c>
      <c r="H7" s="11" t="n">
        <v>604.052</v>
      </c>
      <c r="I7" s="11" t="n">
        <v>158.175</v>
      </c>
      <c r="J7" s="11" t="n">
        <v>241.161</v>
      </c>
      <c r="K7" s="11" t="n">
        <v>0.778</v>
      </c>
      <c r="L7" s="11" t="n">
        <v>360.682</v>
      </c>
      <c r="M7" s="11" t="n">
        <v>219.437</v>
      </c>
      <c r="N7" s="11" t="n"/>
      <c r="O7" s="18">
        <f>IFERROR(B7+D7+E7-F7,"")</f>
        <v/>
      </c>
      <c r="P7" s="15">
        <f>IFERROR(B7/(B7+D7+E7),"")</f>
        <v/>
      </c>
      <c r="Q7" s="15">
        <f>IFERROR((D7+E7)/G7,"")</f>
        <v/>
      </c>
    </row>
    <row r="8">
      <c r="A8" s="8" t="n">
        <v>42767</v>
      </c>
      <c r="B8" s="9" t="n"/>
      <c r="C8" s="9" t="n">
        <v>306.103</v>
      </c>
      <c r="D8" s="9" t="n">
        <v>531.4059999999999</v>
      </c>
      <c r="E8" s="9" t="n">
        <v>0.285</v>
      </c>
      <c r="F8" s="9" t="n">
        <v>42.553</v>
      </c>
      <c r="G8" s="9" t="n">
        <v>770.35</v>
      </c>
      <c r="H8" s="9" t="n">
        <v>675.389</v>
      </c>
      <c r="I8" s="9" t="n">
        <v>193.141</v>
      </c>
      <c r="J8" s="9" t="n">
        <v>268.029</v>
      </c>
      <c r="K8" s="9" t="n">
        <v>1.017</v>
      </c>
      <c r="L8" s="9" t="n">
        <v>375.45</v>
      </c>
      <c r="M8" s="9" t="n">
        <v>239.742</v>
      </c>
      <c r="N8" s="9" t="n"/>
      <c r="O8" s="18">
        <f>IFERROR(B8+D8+E8-F8,"")</f>
        <v/>
      </c>
      <c r="P8" s="15">
        <f>IFERROR(B8/(B8+D8+E8),"")</f>
        <v/>
      </c>
      <c r="Q8" s="15">
        <f>IFERROR((D8+E8)/G8,"")</f>
        <v/>
      </c>
    </row>
    <row r="9">
      <c r="A9" s="10" t="n">
        <v>42795</v>
      </c>
      <c r="B9" s="11" t="n"/>
      <c r="C9" s="11" t="n">
        <v>335.008</v>
      </c>
      <c r="D9" s="11" t="n">
        <v>503.723</v>
      </c>
      <c r="E9" s="11" t="n">
        <v>0.337</v>
      </c>
      <c r="F9" s="11" t="n">
        <v>57.046</v>
      </c>
      <c r="G9" s="11" t="n">
        <v>796.1950000000001</v>
      </c>
      <c r="H9" s="11" t="n">
        <v>686.398</v>
      </c>
      <c r="I9" s="11" t="n">
        <v>212.197</v>
      </c>
      <c r="J9" s="11" t="n">
        <v>191.873</v>
      </c>
      <c r="K9" s="11" t="n">
        <v>2.806</v>
      </c>
      <c r="L9" s="11" t="n">
        <v>390.149</v>
      </c>
      <c r="M9" s="11" t="n">
        <v>246.052</v>
      </c>
      <c r="N9" s="11" t="n"/>
      <c r="O9" s="18">
        <f>IFERROR(B9+D9+E9-F9,"")</f>
        <v/>
      </c>
      <c r="P9" s="15">
        <f>IFERROR(B9/(B9+D9+E9),"")</f>
        <v/>
      </c>
      <c r="Q9" s="15">
        <f>IFERROR((D9+E9)/G9,"")</f>
        <v/>
      </c>
    </row>
    <row r="10">
      <c r="A10" s="8" t="n">
        <v>42826</v>
      </c>
      <c r="B10" s="9" t="n"/>
      <c r="C10" s="9" t="n">
        <v>324.978</v>
      </c>
      <c r="D10" s="9" t="n">
        <v>441.935</v>
      </c>
      <c r="E10" s="9" t="n">
        <v>0.327</v>
      </c>
      <c r="F10" s="9" t="n">
        <v>47.978</v>
      </c>
      <c r="G10" s="9" t="n">
        <v>770.271</v>
      </c>
      <c r="H10" s="9" t="n">
        <v>684.841</v>
      </c>
      <c r="I10" s="9" t="n">
        <v>194.386</v>
      </c>
      <c r="J10" s="9" t="n">
        <v>207.6</v>
      </c>
      <c r="K10" s="9" t="n">
        <v>4.908</v>
      </c>
      <c r="L10" s="9" t="n">
        <v>367.919</v>
      </c>
      <c r="M10" s="9" t="n">
        <v>233.232</v>
      </c>
      <c r="N10" s="9" t="n"/>
      <c r="O10" s="18">
        <f>IFERROR(B10+D10+E10-F10,"")</f>
        <v/>
      </c>
      <c r="P10" s="15">
        <f>IFERROR(B10/(B10+D10+E10),"")</f>
        <v/>
      </c>
      <c r="Q10" s="15">
        <f>IFERROR((D10+E10)/G10,"")</f>
        <v/>
      </c>
    </row>
    <row r="11">
      <c r="A11" s="10" t="n">
        <v>42856</v>
      </c>
      <c r="B11" s="11" t="n"/>
      <c r="C11" s="11" t="n">
        <v>321.887</v>
      </c>
      <c r="D11" s="11" t="n">
        <v>515.116</v>
      </c>
      <c r="E11" s="11" t="n">
        <v>0.329</v>
      </c>
      <c r="F11" s="11" t="n">
        <v>39.3</v>
      </c>
      <c r="G11" s="11" t="n">
        <v>810.064</v>
      </c>
      <c r="H11" s="11" t="n">
        <v>695.196</v>
      </c>
      <c r="I11" s="11" t="n">
        <v>194.647</v>
      </c>
      <c r="J11" s="11" t="n">
        <v>207.405</v>
      </c>
      <c r="K11" s="11" t="n">
        <v>10.195</v>
      </c>
      <c r="L11" s="11" t="n">
        <v>396.366</v>
      </c>
      <c r="M11" s="11" t="n">
        <v>251.104</v>
      </c>
      <c r="N11" s="11" t="n"/>
      <c r="O11" s="18">
        <f>IFERROR(B11+D11+E11-F11,"")</f>
        <v/>
      </c>
      <c r="P11" s="15">
        <f>IFERROR(B11/(B11+D11+E11),"")</f>
        <v/>
      </c>
      <c r="Q11" s="15">
        <f>IFERROR((D11+E11)/G11,"")</f>
        <v/>
      </c>
    </row>
    <row r="12">
      <c r="A12" s="8" t="n">
        <v>42887</v>
      </c>
      <c r="B12" s="9" t="n"/>
      <c r="C12" s="9" t="n">
        <v>292.492</v>
      </c>
      <c r="D12" s="9" t="n">
        <v>520.182</v>
      </c>
      <c r="E12" s="9" t="n">
        <v>0.362</v>
      </c>
      <c r="F12" s="9" t="n">
        <v>48.336</v>
      </c>
      <c r="G12" s="9" t="n">
        <v>816.478</v>
      </c>
      <c r="H12" s="9" t="n">
        <v>698.112</v>
      </c>
      <c r="I12" s="9" t="n">
        <v>173.571</v>
      </c>
      <c r="J12" s="9" t="n">
        <v>228.779</v>
      </c>
      <c r="K12" s="9" t="n">
        <v>17.08</v>
      </c>
      <c r="L12" s="9" t="n">
        <v>390.041</v>
      </c>
      <c r="M12" s="9" t="n">
        <v>246.891</v>
      </c>
      <c r="N12" s="9" t="n"/>
      <c r="O12" s="18">
        <f>IFERROR(B12+D12+E12-F12,"")</f>
        <v/>
      </c>
      <c r="P12" s="15">
        <f>IFERROR(B12/(B12+D12+E12),"")</f>
        <v/>
      </c>
      <c r="Q12" s="15">
        <f>IFERROR((D12+E12)/G12,"")</f>
        <v/>
      </c>
    </row>
    <row r="13">
      <c r="A13" s="10" t="n">
        <v>42917</v>
      </c>
      <c r="B13" s="11" t="n"/>
      <c r="C13" s="11" t="n">
        <v>219.398</v>
      </c>
      <c r="D13" s="11" t="n">
        <v>614.7619999999999</v>
      </c>
      <c r="E13" s="11" t="n">
        <v>0.338</v>
      </c>
      <c r="F13" s="11" t="n">
        <v>37.233</v>
      </c>
      <c r="G13" s="11" t="n">
        <v>789.224</v>
      </c>
      <c r="H13" s="11" t="n">
        <v>686.029</v>
      </c>
      <c r="I13" s="11" t="n">
        <v>156.839</v>
      </c>
      <c r="J13" s="11" t="n">
        <v>238.535</v>
      </c>
      <c r="K13" s="11" t="n">
        <v>21.655</v>
      </c>
      <c r="L13" s="11" t="n">
        <v>357.201</v>
      </c>
      <c r="M13" s="11" t="n">
        <v>230.148</v>
      </c>
      <c r="N13" s="11" t="n"/>
      <c r="O13" s="18">
        <f>IFERROR(B13+D13+E13-F13,"")</f>
        <v/>
      </c>
      <c r="P13" s="15">
        <f>IFERROR(B13/(B13+D13+E13),"")</f>
        <v/>
      </c>
      <c r="Q13" s="15">
        <f>IFERROR((D13+E13)/G13,"")</f>
        <v/>
      </c>
    </row>
    <row r="14">
      <c r="A14" s="8" t="n">
        <v>42948</v>
      </c>
      <c r="B14" s="9" t="n"/>
      <c r="C14" s="9" t="n">
        <v>241.087</v>
      </c>
      <c r="D14" s="9" t="n">
        <v>602.12</v>
      </c>
      <c r="E14" s="9" t="n">
        <v>0.376</v>
      </c>
      <c r="F14" s="9" t="n">
        <v>47.721</v>
      </c>
      <c r="G14" s="9" t="n">
        <v>820.002</v>
      </c>
      <c r="H14" s="9" t="n">
        <v>675.178</v>
      </c>
      <c r="I14" s="9" t="n">
        <v>141.771</v>
      </c>
      <c r="J14" s="9" t="n">
        <v>214.466</v>
      </c>
      <c r="K14" s="9" t="n">
        <v>27.368</v>
      </c>
      <c r="L14" s="9" t="n">
        <v>362.844</v>
      </c>
      <c r="M14" s="9" t="n">
        <v>226.139</v>
      </c>
      <c r="N14" s="9" t="n"/>
      <c r="O14" s="18">
        <f>IFERROR(B14+D14+E14-F14,"")</f>
        <v/>
      </c>
      <c r="P14" s="15">
        <f>IFERROR(B14/(B14+D14+E14),"")</f>
        <v/>
      </c>
      <c r="Q14" s="15">
        <f>IFERROR((D14+E14)/G14,"")</f>
        <v/>
      </c>
    </row>
    <row r="15">
      <c r="A15" s="10" t="n">
        <v>42979</v>
      </c>
      <c r="B15" s="11" t="n"/>
      <c r="C15" s="11" t="n">
        <v>187.182</v>
      </c>
      <c r="D15" s="11" t="n">
        <v>607.3049999999999</v>
      </c>
      <c r="E15" s="11" t="n">
        <v>0.954</v>
      </c>
      <c r="F15" s="11" t="n">
        <v>38.878</v>
      </c>
      <c r="G15" s="11" t="n">
        <v>795.033</v>
      </c>
      <c r="H15" s="11" t="n">
        <v>652.456</v>
      </c>
      <c r="I15" s="11" t="n">
        <v>111.93</v>
      </c>
      <c r="J15" s="11" t="n">
        <v>250.306</v>
      </c>
      <c r="K15" s="11" t="n">
        <v>28.265</v>
      </c>
      <c r="L15" s="11" t="n">
        <v>347.933</v>
      </c>
      <c r="M15" s="11" t="n">
        <v>211.694</v>
      </c>
      <c r="N15" s="11" t="n"/>
      <c r="O15" s="18">
        <f>IFERROR(B15+D15+E15-F15,"")</f>
        <v/>
      </c>
      <c r="P15" s="15">
        <f>IFERROR(B15/(B15+D15+E15),"")</f>
        <v/>
      </c>
      <c r="Q15" s="15">
        <f>IFERROR((D15+E15)/G15,"")</f>
        <v/>
      </c>
    </row>
    <row r="16">
      <c r="A16" s="8" t="n">
        <v>43009</v>
      </c>
      <c r="B16" s="9" t="n"/>
      <c r="C16" s="9" t="n">
        <v>170.515</v>
      </c>
      <c r="D16" s="9" t="n">
        <v>598.833</v>
      </c>
      <c r="E16" s="9" t="n">
        <v>4.769</v>
      </c>
      <c r="F16" s="9" t="n">
        <v>46.998</v>
      </c>
      <c r="G16" s="9" t="n">
        <v>781.486</v>
      </c>
      <c r="H16" s="9" t="n">
        <v>654.771</v>
      </c>
      <c r="I16" s="9" t="n">
        <v>96.298</v>
      </c>
      <c r="J16" s="9" t="n">
        <v>263.006</v>
      </c>
      <c r="K16" s="9" t="n">
        <v>36.435</v>
      </c>
      <c r="L16" s="9" t="n">
        <v>340.664</v>
      </c>
      <c r="M16" s="9" t="n">
        <v>224.736</v>
      </c>
      <c r="N16" s="9" t="n"/>
      <c r="O16" s="18">
        <f>IFERROR(B16+D16+E16-F16,"")</f>
        <v/>
      </c>
      <c r="P16" s="15">
        <f>IFERROR(B16/(B16+D16+E16),"")</f>
        <v/>
      </c>
      <c r="Q16" s="15">
        <f>IFERROR((D16+E16)/G16,"")</f>
        <v/>
      </c>
    </row>
    <row r="17">
      <c r="A17" s="10" t="n">
        <v>43040</v>
      </c>
      <c r="B17" s="11" t="n"/>
      <c r="C17" s="11" t="n">
        <v>183.731</v>
      </c>
      <c r="D17" s="11" t="n">
        <v>682.034</v>
      </c>
      <c r="E17" s="11" t="n">
        <v>7.764</v>
      </c>
      <c r="F17" s="11" t="n">
        <v>40.048</v>
      </c>
      <c r="G17" s="11" t="n">
        <v>813.784</v>
      </c>
      <c r="H17" s="11" t="n">
        <v>658.244</v>
      </c>
      <c r="I17" s="11" t="n">
        <v>110.523</v>
      </c>
      <c r="J17" s="11" t="n">
        <v>276.585</v>
      </c>
      <c r="K17" s="11" t="n">
        <v>42.444</v>
      </c>
      <c r="L17" s="11" t="n">
        <v>355.565</v>
      </c>
      <c r="M17" s="11" t="n">
        <v>235.144</v>
      </c>
      <c r="N17" s="11" t="n"/>
      <c r="O17" s="18">
        <f>IFERROR(B17+D17+E17-F17,"")</f>
        <v/>
      </c>
      <c r="P17" s="15">
        <f>IFERROR(B17/(B17+D17+E17),"")</f>
        <v/>
      </c>
      <c r="Q17" s="15">
        <f>IFERROR((D17+E17)/G17,"")</f>
        <v/>
      </c>
    </row>
    <row r="18">
      <c r="A18" s="8" t="n">
        <v>43070</v>
      </c>
      <c r="B18" s="9" t="n"/>
      <c r="C18" s="9" t="n">
        <v>200.371</v>
      </c>
      <c r="D18" s="9" t="n">
        <v>677.6420000000001</v>
      </c>
      <c r="E18" s="9" t="n">
        <v>4.1</v>
      </c>
      <c r="F18" s="9" t="n">
        <v>35.745</v>
      </c>
      <c r="G18" s="9" t="n">
        <v>855.141</v>
      </c>
      <c r="H18" s="9" t="n">
        <v>700.052</v>
      </c>
      <c r="I18" s="9" t="n">
        <v>103.009</v>
      </c>
      <c r="J18" s="9" t="n">
        <v>270.448</v>
      </c>
      <c r="K18" s="9" t="n">
        <v>36.457</v>
      </c>
      <c r="L18" s="9" t="n">
        <v>341.63</v>
      </c>
      <c r="M18" s="9" t="n">
        <v>216.045</v>
      </c>
      <c r="N18" s="9" t="n"/>
      <c r="O18" s="18">
        <f>IFERROR(B18+D18+E18-F18,"")</f>
        <v/>
      </c>
      <c r="P18" s="15">
        <f>IFERROR(B18/(B18+D18+E18),"")</f>
        <v/>
      </c>
      <c r="Q18" s="15">
        <f>IFERROR((D18+E18)/G18,"")</f>
        <v/>
      </c>
    </row>
    <row r="19">
      <c r="A19" s="10" t="n">
        <v>43101</v>
      </c>
      <c r="B19" s="11" t="n"/>
      <c r="C19" s="11" t="n">
        <v>187.282</v>
      </c>
      <c r="D19" s="11" t="n">
        <v>593.0890000000001</v>
      </c>
      <c r="E19" s="11" t="n">
        <v>5.389</v>
      </c>
      <c r="F19" s="11" t="n">
        <v>44.779</v>
      </c>
      <c r="G19" s="11" t="n">
        <v>764.958</v>
      </c>
      <c r="H19" s="11" t="n">
        <v>637.283</v>
      </c>
      <c r="I19" s="11" t="n">
        <v>136.445</v>
      </c>
      <c r="J19" s="11" t="n">
        <v>226.269</v>
      </c>
      <c r="K19" s="11" t="n">
        <v>36.139</v>
      </c>
      <c r="L19" s="11" t="n">
        <v>325.492</v>
      </c>
      <c r="M19" s="11" t="n">
        <v>219.381</v>
      </c>
      <c r="N19" s="11" t="n"/>
      <c r="O19" s="18">
        <f>IFERROR(B19+D19+E19-F19,"")</f>
        <v/>
      </c>
      <c r="P19" s="15">
        <f>IFERROR(B19/(B19+D19+E19),"")</f>
        <v/>
      </c>
      <c r="Q19" s="15">
        <f>IFERROR((D19+E19)/G19,"")</f>
        <v/>
      </c>
    </row>
    <row r="20">
      <c r="A20" s="8" t="n">
        <v>43132</v>
      </c>
      <c r="B20" s="9" t="n"/>
      <c r="C20" s="9" t="n">
        <v>164.097</v>
      </c>
      <c r="D20" s="9" t="n">
        <v>647.086</v>
      </c>
      <c r="E20" s="9" t="n">
        <v>10.587</v>
      </c>
      <c r="F20" s="9" t="n">
        <v>39.475</v>
      </c>
      <c r="G20" s="9" t="n">
        <v>777.138</v>
      </c>
      <c r="H20" s="9" t="n">
        <v>644.5839999999999</v>
      </c>
      <c r="I20" s="9" t="n">
        <v>94.69499999999999</v>
      </c>
      <c r="J20" s="9" t="n">
        <v>243.943</v>
      </c>
      <c r="K20" s="9" t="n">
        <v>44.426</v>
      </c>
      <c r="L20" s="9" t="n">
        <v>330.192</v>
      </c>
      <c r="M20" s="9" t="n">
        <v>221.962</v>
      </c>
      <c r="N20" s="9" t="n"/>
      <c r="O20" s="18">
        <f>IFERROR(B20+D20+E20-F20,"")</f>
        <v/>
      </c>
      <c r="P20" s="15">
        <f>IFERROR(B20/(B20+D20+E20),"")</f>
        <v/>
      </c>
      <c r="Q20" s="15">
        <f>IFERROR((D20+E20)/G20,"")</f>
        <v/>
      </c>
    </row>
    <row r="21">
      <c r="A21" s="10" t="n">
        <v>43160</v>
      </c>
      <c r="B21" s="11" t="n"/>
      <c r="C21" s="11" t="n">
        <v>222.47</v>
      </c>
      <c r="D21" s="11" t="n">
        <v>630.694</v>
      </c>
      <c r="E21" s="11" t="n">
        <v>10.623</v>
      </c>
      <c r="F21" s="11" t="n">
        <v>47.624</v>
      </c>
      <c r="G21" s="11" t="n">
        <v>804.946</v>
      </c>
      <c r="H21" s="11" t="n">
        <v>632.598</v>
      </c>
      <c r="I21" s="11" t="n">
        <v>108.051</v>
      </c>
      <c r="J21" s="11" t="n">
        <v>244.936</v>
      </c>
      <c r="K21" s="11" t="n">
        <v>45.207</v>
      </c>
      <c r="L21" s="11" t="n">
        <v>339.147</v>
      </c>
      <c r="M21" s="11" t="n">
        <v>213.633</v>
      </c>
      <c r="N21" s="11" t="n"/>
      <c r="O21" s="18">
        <f>IFERROR(B21+D21+E21-F21,"")</f>
        <v/>
      </c>
      <c r="P21" s="15">
        <f>IFERROR(B21/(B21+D21+E21),"")</f>
        <v/>
      </c>
      <c r="Q21" s="15">
        <f>IFERROR((D21+E21)/G21,"")</f>
        <v/>
      </c>
    </row>
    <row r="22">
      <c r="A22" s="8" t="n">
        <v>43191</v>
      </c>
      <c r="B22" s="9" t="n"/>
      <c r="C22" s="9" t="n">
        <v>276.828</v>
      </c>
      <c r="D22" s="9" t="n">
        <v>580.0650000000001</v>
      </c>
      <c r="E22" s="9" t="n">
        <v>10.081</v>
      </c>
      <c r="F22" s="9" t="n">
        <v>36.848</v>
      </c>
      <c r="G22" s="9" t="n">
        <v>759.101</v>
      </c>
      <c r="H22" s="9" t="n">
        <v>680.588</v>
      </c>
      <c r="I22" s="9" t="n">
        <v>149.568</v>
      </c>
      <c r="J22" s="9" t="n">
        <v>234.332</v>
      </c>
      <c r="K22" s="9" t="n">
        <v>59.528</v>
      </c>
      <c r="L22" s="9" t="n">
        <v>334.347</v>
      </c>
      <c r="M22" s="9" t="n">
        <v>231.885</v>
      </c>
      <c r="N22" s="9" t="n"/>
      <c r="O22" s="18">
        <f>IFERROR(B22+D22+E22-F22,"")</f>
        <v/>
      </c>
      <c r="P22" s="15">
        <f>IFERROR(B22/(B22+D22+E22),"")</f>
        <v/>
      </c>
      <c r="Q22" s="15">
        <f>IFERROR((D22+E22)/G22,"")</f>
        <v/>
      </c>
    </row>
    <row r="23">
      <c r="A23" s="10" t="n">
        <v>43221</v>
      </c>
      <c r="B23" s="11" t="n"/>
      <c r="C23" s="11" t="n">
        <v>245.551</v>
      </c>
      <c r="D23" s="11" t="n">
        <v>558.255</v>
      </c>
      <c r="E23" s="11" t="n">
        <v>16.839</v>
      </c>
      <c r="F23" s="11" t="n">
        <v>44.603</v>
      </c>
      <c r="G23" s="11" t="n">
        <v>801.087</v>
      </c>
      <c r="H23" s="11" t="n">
        <v>739.27</v>
      </c>
      <c r="I23" s="11" t="n">
        <v>146.87</v>
      </c>
      <c r="J23" s="11" t="n">
        <v>231.02</v>
      </c>
      <c r="K23" s="11" t="n">
        <v>50.517</v>
      </c>
      <c r="L23" s="11" t="n">
        <v>356.016</v>
      </c>
      <c r="M23" s="11" t="n">
        <v>250.422</v>
      </c>
      <c r="N23" s="11" t="n"/>
      <c r="O23" s="18">
        <f>IFERROR(B23+D23+E23-F23,"")</f>
        <v/>
      </c>
      <c r="P23" s="15">
        <f>IFERROR(B23/(B23+D23+E23),"")</f>
        <v/>
      </c>
      <c r="Q23" s="15">
        <f>IFERROR((D23+E23)/G23,"")</f>
        <v/>
      </c>
    </row>
    <row r="24">
      <c r="A24" s="8" t="n">
        <v>43252</v>
      </c>
      <c r="B24" s="9" t="n"/>
      <c r="C24" s="9" t="n">
        <v>207.186</v>
      </c>
      <c r="D24" s="9" t="n">
        <v>574.01</v>
      </c>
      <c r="E24" s="9" t="n">
        <v>18.405</v>
      </c>
      <c r="F24" s="9" t="n">
        <v>35.829</v>
      </c>
      <c r="G24" s="9" t="n">
        <v>793.441</v>
      </c>
      <c r="H24" s="9" t="n">
        <v>732.283</v>
      </c>
      <c r="I24" s="9" t="n">
        <v>134.888</v>
      </c>
      <c r="J24" s="9" t="n">
        <v>226.007</v>
      </c>
      <c r="K24" s="9" t="n">
        <v>62.019</v>
      </c>
      <c r="L24" s="9" t="n">
        <v>354.576</v>
      </c>
      <c r="M24" s="9" t="n">
        <v>239.198</v>
      </c>
      <c r="N24" s="9" t="n"/>
      <c r="O24" s="18">
        <f>IFERROR(B24+D24+E24-F24,"")</f>
        <v/>
      </c>
      <c r="P24" s="15">
        <f>IFERROR(B24/(B24+D24+E24),"")</f>
        <v/>
      </c>
      <c r="Q24" s="15">
        <f>IFERROR((D24+E24)/G24,"")</f>
        <v/>
      </c>
    </row>
    <row r="25">
      <c r="A25" s="10" t="n">
        <v>43282</v>
      </c>
      <c r="B25" s="11" t="n"/>
      <c r="C25" s="11" t="n">
        <v>212.695</v>
      </c>
      <c r="D25" s="11" t="n">
        <v>625.672</v>
      </c>
      <c r="E25" s="11" t="n">
        <v>23.309</v>
      </c>
      <c r="F25" s="11" t="n">
        <v>37.182</v>
      </c>
      <c r="G25" s="11" t="n">
        <v>751.443</v>
      </c>
      <c r="H25" s="11" t="n">
        <v>735.068</v>
      </c>
      <c r="I25" s="11" t="n">
        <v>116.454</v>
      </c>
      <c r="J25" s="11" t="n">
        <v>270.957</v>
      </c>
      <c r="K25" s="11" t="n">
        <v>51.838</v>
      </c>
      <c r="L25" s="11" t="n">
        <v>333.642</v>
      </c>
      <c r="M25" s="11" t="n">
        <v>235.236</v>
      </c>
      <c r="N25" s="11" t="n"/>
      <c r="O25" s="18">
        <f>IFERROR(B25+D25+E25-F25,"")</f>
        <v/>
      </c>
      <c r="P25" s="15">
        <f>IFERROR(B25/(B25+D25+E25),"")</f>
        <v/>
      </c>
      <c r="Q25" s="15">
        <f>IFERROR((D25+E25)/G25,"")</f>
        <v/>
      </c>
    </row>
    <row r="26">
      <c r="A26" s="8" t="n">
        <v>43313</v>
      </c>
      <c r="B26" s="9" t="n"/>
      <c r="C26" s="9" t="n">
        <v>228.729</v>
      </c>
      <c r="D26" s="9" t="n">
        <v>587.545</v>
      </c>
      <c r="E26" s="9" t="n">
        <v>26.967</v>
      </c>
      <c r="F26" s="9" t="n">
        <v>36.714</v>
      </c>
      <c r="G26" s="9" t="n">
        <v>766.425</v>
      </c>
      <c r="H26" s="9" t="n">
        <v>729.054</v>
      </c>
      <c r="I26" s="9" t="n">
        <v>133.022</v>
      </c>
      <c r="J26" s="9" t="n">
        <v>226.966</v>
      </c>
      <c r="K26" s="9" t="n">
        <v>55.798</v>
      </c>
      <c r="L26" s="9" t="n">
        <v>339.154</v>
      </c>
      <c r="M26" s="9" t="n">
        <v>229.093</v>
      </c>
      <c r="N26" s="9" t="n"/>
      <c r="O26" s="18">
        <f>IFERROR(B26+D26+E26-F26,"")</f>
        <v/>
      </c>
      <c r="P26" s="15">
        <f>IFERROR(B26/(B26+D26+E26),"")</f>
        <v/>
      </c>
      <c r="Q26" s="15">
        <f>IFERROR((D26+E26)/G26,"")</f>
        <v/>
      </c>
    </row>
    <row r="27">
      <c r="A27" s="10" t="n">
        <v>43344</v>
      </c>
      <c r="B27" s="11" t="n"/>
      <c r="C27" s="11" t="n">
        <v>215.538</v>
      </c>
      <c r="D27" s="11" t="n">
        <v>565.948</v>
      </c>
      <c r="E27" s="11" t="n">
        <v>37.465</v>
      </c>
      <c r="F27" s="11" t="n">
        <v>37.493</v>
      </c>
      <c r="G27" s="11" t="n">
        <v>729.566</v>
      </c>
      <c r="H27" s="11" t="n">
        <v>712.1609999999999</v>
      </c>
      <c r="I27" s="11" t="n">
        <v>108.681</v>
      </c>
      <c r="J27" s="11" t="n">
        <v>218.671</v>
      </c>
      <c r="K27" s="11" t="n">
        <v>71.996</v>
      </c>
      <c r="L27" s="11" t="n">
        <v>314.631</v>
      </c>
      <c r="M27" s="11" t="n">
        <v>212.42</v>
      </c>
      <c r="N27" s="11" t="n"/>
      <c r="O27" s="18">
        <f>IFERROR(B27+D27+E27-F27,"")</f>
        <v/>
      </c>
      <c r="P27" s="15">
        <f>IFERROR(B27/(B27+D27+E27),"")</f>
        <v/>
      </c>
      <c r="Q27" s="15">
        <f>IFERROR((D27+E27)/G27,"")</f>
        <v/>
      </c>
    </row>
    <row r="28">
      <c r="A28" s="8" t="n">
        <v>43374</v>
      </c>
      <c r="B28" s="9" t="n"/>
      <c r="C28" s="9" t="n">
        <v>171.699</v>
      </c>
      <c r="D28" s="9" t="n">
        <v>585.832</v>
      </c>
      <c r="E28" s="9" t="n">
        <v>33.069</v>
      </c>
      <c r="F28" s="9" t="n">
        <v>37.973</v>
      </c>
      <c r="G28" s="9" t="n">
        <v>739.439</v>
      </c>
      <c r="H28" s="9" t="n">
        <v>710.3819999999999</v>
      </c>
      <c r="I28" s="9" t="n">
        <v>83.375</v>
      </c>
      <c r="J28" s="9" t="n">
        <v>247.333</v>
      </c>
      <c r="K28" s="9" t="n">
        <v>66.998</v>
      </c>
      <c r="L28" s="9" t="n">
        <v>320.59</v>
      </c>
      <c r="M28" s="9" t="n">
        <v>227.976</v>
      </c>
      <c r="N28" s="9" t="n"/>
      <c r="O28" s="18">
        <f>IFERROR(B28+D28+E28-F28,"")</f>
        <v/>
      </c>
      <c r="P28" s="15">
        <f>IFERROR(B28/(B28+D28+E28),"")</f>
        <v/>
      </c>
      <c r="Q28" s="15">
        <f>IFERROR((D28+E28)/G28,"")</f>
        <v/>
      </c>
    </row>
    <row r="29">
      <c r="A29" s="10" t="n">
        <v>43405</v>
      </c>
      <c r="B29" s="11" t="n"/>
      <c r="C29" s="11" t="n">
        <v>177.659</v>
      </c>
      <c r="D29" s="11" t="n">
        <v>613.924</v>
      </c>
      <c r="E29" s="11" t="n">
        <v>36.922</v>
      </c>
      <c r="F29" s="11" t="n">
        <v>26.227</v>
      </c>
      <c r="G29" s="11" t="n">
        <v>737.408</v>
      </c>
      <c r="H29" s="11" t="n">
        <v>708.64</v>
      </c>
      <c r="I29" s="11" t="n">
        <v>88.64400000000001</v>
      </c>
      <c r="J29" s="11" t="n">
        <v>261.787</v>
      </c>
      <c r="K29" s="11" t="n">
        <v>66.139</v>
      </c>
      <c r="L29" s="11" t="n">
        <v>328.033</v>
      </c>
      <c r="M29" s="11" t="n">
        <v>229.922</v>
      </c>
      <c r="N29" s="11" t="n"/>
      <c r="O29" s="18">
        <f>IFERROR(B29+D29+E29-F29,"")</f>
        <v/>
      </c>
      <c r="P29" s="15">
        <f>IFERROR(B29/(B29+D29+E29),"")</f>
        <v/>
      </c>
      <c r="Q29" s="15">
        <f>IFERROR((D29+E29)/G29,"")</f>
        <v/>
      </c>
    </row>
    <row r="30">
      <c r="A30" s="8" t="n">
        <v>43435</v>
      </c>
      <c r="B30" s="9" t="n"/>
      <c r="C30" s="9" t="n">
        <v>172.985</v>
      </c>
      <c r="D30" s="9" t="n">
        <v>616.304</v>
      </c>
      <c r="E30" s="9" t="n">
        <v>42.128</v>
      </c>
      <c r="F30" s="9" t="n">
        <v>27.826</v>
      </c>
      <c r="G30" s="9" t="n">
        <v>745.501</v>
      </c>
      <c r="H30" s="9" t="n">
        <v>719.58</v>
      </c>
      <c r="I30" s="9" t="n">
        <v>99.30800000000001</v>
      </c>
      <c r="J30" s="9" t="n">
        <v>254.466</v>
      </c>
      <c r="K30" s="9" t="n">
        <v>57.365</v>
      </c>
      <c r="L30" s="9" t="n">
        <v>299.877</v>
      </c>
      <c r="M30" s="9" t="n">
        <v>206.642</v>
      </c>
      <c r="N30" s="9" t="n"/>
      <c r="O30" s="18">
        <f>IFERROR(B30+D30+E30-F30,"")</f>
        <v/>
      </c>
      <c r="P30" s="15">
        <f>IFERROR(B30/(B30+D30+E30),"")</f>
        <v/>
      </c>
      <c r="Q30" s="15">
        <f>IFERROR((D30+E30)/G30,"")</f>
        <v/>
      </c>
    </row>
    <row r="31">
      <c r="A31" s="10" t="n">
        <v>43466</v>
      </c>
      <c r="B31" s="11" t="n">
        <v>149.813</v>
      </c>
      <c r="C31" s="11" t="n">
        <v>153.131</v>
      </c>
      <c r="D31" s="11" t="n">
        <v>512.997</v>
      </c>
      <c r="E31" s="11" t="n">
        <v>54.66</v>
      </c>
      <c r="F31" s="11" t="n">
        <v>35.135</v>
      </c>
      <c r="G31" s="11" t="n">
        <v>707.17</v>
      </c>
      <c r="H31" s="11" t="n">
        <v>711.422</v>
      </c>
      <c r="I31" s="11" t="n">
        <v>109.665</v>
      </c>
      <c r="J31" s="11" t="n">
        <v>194.589</v>
      </c>
      <c r="K31" s="11" t="n">
        <v>70.117</v>
      </c>
      <c r="L31" s="11" t="n">
        <v>290.796</v>
      </c>
      <c r="M31" s="11" t="n">
        <v>231.224</v>
      </c>
      <c r="N31" s="11" t="n">
        <v>-79.495</v>
      </c>
      <c r="O31" s="18">
        <f>IFERROR(B31+D31+E31-F31,"")</f>
        <v/>
      </c>
      <c r="P31" s="15">
        <f>IFERROR(B31/(B31+D31+E31),"")</f>
        <v/>
      </c>
      <c r="Q31" s="15">
        <f>IFERROR((D31+E31)/G31,"")</f>
        <v/>
      </c>
    </row>
    <row r="32">
      <c r="A32" s="8" t="n">
        <v>43497</v>
      </c>
      <c r="B32" s="9" t="n">
        <v>224.391</v>
      </c>
      <c r="C32" s="9" t="n">
        <v>217.113</v>
      </c>
      <c r="D32" s="9" t="n">
        <v>590.693</v>
      </c>
      <c r="E32" s="9" t="n">
        <v>60.509</v>
      </c>
      <c r="F32" s="9" t="n">
        <v>30.169</v>
      </c>
      <c r="G32" s="9" t="n">
        <v>730.631</v>
      </c>
      <c r="H32" s="9" t="n">
        <v>715.921</v>
      </c>
      <c r="I32" s="9" t="n">
        <v>126.352</v>
      </c>
      <c r="J32" s="9" t="n">
        <v>211.265</v>
      </c>
      <c r="K32" s="9" t="n">
        <v>65.953</v>
      </c>
      <c r="L32" s="9" t="n">
        <v>309.007</v>
      </c>
      <c r="M32" s="9" t="n">
        <v>237.088</v>
      </c>
      <c r="N32" s="9" t="n">
        <v>54.284</v>
      </c>
      <c r="O32" s="18">
        <f>IFERROR(B32+D32+E32-F32,"")</f>
        <v/>
      </c>
      <c r="P32" s="15">
        <f>IFERROR(B32/(B32+D32+E32),"")</f>
        <v/>
      </c>
      <c r="Q32" s="15">
        <f>IFERROR((D32+E32)/G32,"")</f>
        <v/>
      </c>
    </row>
    <row r="33">
      <c r="A33" s="10" t="n">
        <v>43525</v>
      </c>
      <c r="B33" s="11" t="n">
        <v>220.05</v>
      </c>
      <c r="C33" s="11" t="n">
        <v>208.389</v>
      </c>
      <c r="D33" s="11" t="n">
        <v>541.853</v>
      </c>
      <c r="E33" s="11" t="n">
        <v>65.244</v>
      </c>
      <c r="F33" s="11" t="n">
        <v>34.461</v>
      </c>
      <c r="G33" s="11" t="n">
        <v>723.388</v>
      </c>
      <c r="H33" s="11" t="n">
        <v>717.946</v>
      </c>
      <c r="I33" s="11" t="n">
        <v>122.788</v>
      </c>
      <c r="J33" s="11" t="n">
        <v>197.105</v>
      </c>
      <c r="K33" s="11" t="n">
        <v>87.98399999999999</v>
      </c>
      <c r="L33" s="11" t="n">
        <v>311.705</v>
      </c>
      <c r="M33" s="11" t="n">
        <v>230.023</v>
      </c>
      <c r="N33" s="11" t="n">
        <v>4.054</v>
      </c>
      <c r="O33" s="18">
        <f>IFERROR(B33+D33+E33-F33,"")</f>
        <v/>
      </c>
      <c r="P33" s="15">
        <f>IFERROR(B33/(B33+D33+E33),"")</f>
        <v/>
      </c>
      <c r="Q33" s="15">
        <f>IFERROR((D33+E33)/G33,"")</f>
        <v/>
      </c>
    </row>
    <row r="34">
      <c r="A34" s="8" t="n">
        <v>43556</v>
      </c>
      <c r="B34" s="9" t="n">
        <v>205.38</v>
      </c>
      <c r="C34" s="9" t="n">
        <v>199.864</v>
      </c>
      <c r="D34" s="9" t="n">
        <v>590.397</v>
      </c>
      <c r="E34" s="9" t="n">
        <v>67.679</v>
      </c>
      <c r="F34" s="9" t="n">
        <v>35.865</v>
      </c>
      <c r="G34" s="9" t="n">
        <v>745.682</v>
      </c>
      <c r="H34" s="9" t="n">
        <v>712.5</v>
      </c>
      <c r="I34" s="9" t="n">
        <v>132.805</v>
      </c>
      <c r="J34" s="9" t="n">
        <v>203.136</v>
      </c>
      <c r="K34" s="9" t="n">
        <v>78.80200000000001</v>
      </c>
      <c r="L34" s="9" t="n">
        <v>308.227</v>
      </c>
      <c r="M34" s="9" t="n">
        <v>226.929</v>
      </c>
      <c r="N34" s="9" t="n">
        <v>14.23</v>
      </c>
      <c r="O34" s="18">
        <f>IFERROR(B34+D34+E34-F34,"")</f>
        <v/>
      </c>
      <c r="P34" s="15">
        <f>IFERROR(B34/(B34+D34+E34),"")</f>
        <v/>
      </c>
      <c r="Q34" s="15">
        <f>IFERROR((D34+E34)/G34,"")</f>
        <v/>
      </c>
    </row>
    <row r="35">
      <c r="A35" s="10" t="n">
        <v>43586</v>
      </c>
      <c r="B35" s="11" t="n">
        <v>224.048</v>
      </c>
      <c r="C35" s="11" t="n">
        <v>217.266</v>
      </c>
      <c r="D35" s="11" t="n">
        <v>508.621</v>
      </c>
      <c r="E35" s="11" t="n">
        <v>63.559</v>
      </c>
      <c r="F35" s="11" t="n">
        <v>26.462</v>
      </c>
      <c r="G35" s="11" t="n">
        <v>741.502</v>
      </c>
      <c r="H35" s="11" t="n">
        <v>742.35</v>
      </c>
      <c r="I35" s="11" t="n">
        <v>139.133</v>
      </c>
      <c r="J35" s="11" t="n">
        <v>190.351</v>
      </c>
      <c r="K35" s="11" t="n">
        <v>101.848</v>
      </c>
      <c r="L35" s="11" t="n">
        <v>315.612</v>
      </c>
      <c r="M35" s="11" t="n">
        <v>243.238</v>
      </c>
      <c r="N35" s="11" t="n">
        <v>-35.296</v>
      </c>
      <c r="O35" s="18">
        <f>IFERROR(B35+D35+E35-F35,"")</f>
        <v/>
      </c>
      <c r="P35" s="15">
        <f>IFERROR(B35/(B35+D35+E35),"")</f>
        <v/>
      </c>
      <c r="Q35" s="15">
        <f>IFERROR((D35+E35)/G35,"")</f>
        <v/>
      </c>
    </row>
    <row r="36">
      <c r="A36" s="8" t="n">
        <v>43617</v>
      </c>
      <c r="B36" s="9" t="n">
        <v>224.849</v>
      </c>
      <c r="C36" s="9" t="n">
        <v>215.121</v>
      </c>
      <c r="D36" s="9" t="n">
        <v>555.1319999999999</v>
      </c>
      <c r="E36" s="9" t="n">
        <v>65.014</v>
      </c>
      <c r="F36" s="9" t="n">
        <v>39.513</v>
      </c>
      <c r="G36" s="9" t="n">
        <v>724.283</v>
      </c>
      <c r="H36" s="9" t="n">
        <v>747.58</v>
      </c>
      <c r="I36" s="9" t="n">
        <v>151.499</v>
      </c>
      <c r="J36" s="9" t="n">
        <v>183.38</v>
      </c>
      <c r="K36" s="9" t="n">
        <v>80.73</v>
      </c>
      <c r="L36" s="9" t="n">
        <v>303.847</v>
      </c>
      <c r="M36" s="9" t="n">
        <v>234.217</v>
      </c>
      <c r="N36" s="9" t="n">
        <v>16.185</v>
      </c>
      <c r="O36" s="18">
        <f>IFERROR(B36+D36+E36-F36,"")</f>
        <v/>
      </c>
      <c r="P36" s="15">
        <f>IFERROR(B36/(B36+D36+E36),"")</f>
        <v/>
      </c>
      <c r="Q36" s="15">
        <f>IFERROR((D36+E36)/G36,"")</f>
        <v/>
      </c>
    </row>
    <row r="37">
      <c r="A37" s="10" t="n">
        <v>43647</v>
      </c>
      <c r="B37" s="11" t="n">
        <v>235.579</v>
      </c>
      <c r="C37" s="11" t="n">
        <v>223.803</v>
      </c>
      <c r="D37" s="11" t="n">
        <v>500.778</v>
      </c>
      <c r="E37" s="11" t="n">
        <v>78.292</v>
      </c>
      <c r="F37" s="11" t="n">
        <v>27.79</v>
      </c>
      <c r="G37" s="11" t="n">
        <v>735.134</v>
      </c>
      <c r="H37" s="11" t="n">
        <v>716.149</v>
      </c>
      <c r="I37" s="11" t="n">
        <v>148.815</v>
      </c>
      <c r="J37" s="11" t="n">
        <v>143.715</v>
      </c>
      <c r="K37" s="11" t="n">
        <v>89.253</v>
      </c>
      <c r="L37" s="11" t="n">
        <v>297.953</v>
      </c>
      <c r="M37" s="11" t="n">
        <v>227.835</v>
      </c>
      <c r="N37" s="11" t="n">
        <v>-26.567</v>
      </c>
      <c r="O37" s="18">
        <f>IFERROR(B37+D37+E37-F37,"")</f>
        <v/>
      </c>
      <c r="P37" s="15">
        <f>IFERROR(B37/(B37+D37+E37),"")</f>
        <v/>
      </c>
      <c r="Q37" s="15">
        <f>IFERROR((D37+E37)/G37,"")</f>
        <v/>
      </c>
    </row>
    <row r="38">
      <c r="A38" s="8" t="n">
        <v>43678</v>
      </c>
      <c r="B38" s="9" t="n">
        <v>235.324</v>
      </c>
      <c r="C38" s="9" t="n">
        <v>225.744</v>
      </c>
      <c r="D38" s="9" t="n">
        <v>493.567</v>
      </c>
      <c r="E38" s="9" t="n">
        <v>89.143</v>
      </c>
      <c r="F38" s="9" t="n">
        <v>38.094</v>
      </c>
      <c r="G38" s="9" t="n">
        <v>721.823</v>
      </c>
      <c r="H38" s="9" t="n">
        <v>726.077</v>
      </c>
      <c r="I38" s="9" t="n">
        <v>144.637</v>
      </c>
      <c r="J38" s="9" t="n">
        <v>157.68</v>
      </c>
      <c r="K38" s="9" t="n">
        <v>91.66200000000001</v>
      </c>
      <c r="L38" s="9" t="n">
        <v>294.709</v>
      </c>
      <c r="M38" s="9" t="n">
        <v>215.563</v>
      </c>
      <c r="N38" s="9" t="n">
        <v>-31.026</v>
      </c>
      <c r="O38" s="18">
        <f>IFERROR(B38+D38+E38-F38,"")</f>
        <v/>
      </c>
      <c r="P38" s="15">
        <f>IFERROR(B38/(B38+D38+E38),"")</f>
        <v/>
      </c>
      <c r="Q38" s="15">
        <f>IFERROR((D38+E38)/G38,"")</f>
        <v/>
      </c>
    </row>
    <row r="39">
      <c r="A39" s="10" t="n">
        <v>43709</v>
      </c>
      <c r="B39" s="11" t="n">
        <v>215.155</v>
      </c>
      <c r="C39" s="11" t="n">
        <v>203.141</v>
      </c>
      <c r="D39" s="11" t="n">
        <v>461.055</v>
      </c>
      <c r="E39" s="11" t="n">
        <v>83.748</v>
      </c>
      <c r="F39" s="11" t="n">
        <v>26.377</v>
      </c>
      <c r="G39" s="11" t="n">
        <v>688.513</v>
      </c>
      <c r="H39" s="11" t="n">
        <v>720.859</v>
      </c>
      <c r="I39" s="11" t="n">
        <v>134.205</v>
      </c>
      <c r="J39" s="11" t="n">
        <v>160.462</v>
      </c>
      <c r="K39" s="11" t="n">
        <v>71.361</v>
      </c>
      <c r="L39" s="11" t="n">
        <v>270.304</v>
      </c>
      <c r="M39" s="11" t="n">
        <v>208.455</v>
      </c>
      <c r="N39" s="11" t="n">
        <v>-38.68</v>
      </c>
      <c r="O39" s="18">
        <f>IFERROR(B39+D39+E39-F39,"")</f>
        <v/>
      </c>
      <c r="P39" s="15">
        <f>IFERROR(B39/(B39+D39+E39),"")</f>
        <v/>
      </c>
      <c r="Q39" s="15">
        <f>IFERROR((D39+E39)/G39,"")</f>
        <v/>
      </c>
    </row>
    <row r="40">
      <c r="A40" s="8" t="n">
        <v>43739</v>
      </c>
      <c r="B40" s="9" t="n">
        <v>193.091</v>
      </c>
      <c r="C40" s="9" t="n">
        <v>177.571</v>
      </c>
      <c r="D40" s="9" t="n">
        <v>520.7089999999999</v>
      </c>
      <c r="E40" s="9" t="n">
        <v>101.855</v>
      </c>
      <c r="F40" s="9" t="n">
        <v>36.477</v>
      </c>
      <c r="G40" s="9" t="n">
        <v>701.51</v>
      </c>
      <c r="H40" s="9" t="n">
        <v>733.537</v>
      </c>
      <c r="I40" s="9" t="n">
        <v>116.025</v>
      </c>
      <c r="J40" s="9" t="n">
        <v>152.835</v>
      </c>
      <c r="K40" s="9" t="n">
        <v>81.27800000000001</v>
      </c>
      <c r="L40" s="9" t="n">
        <v>275.31</v>
      </c>
      <c r="M40" s="9" t="n">
        <v>224.202</v>
      </c>
      <c r="N40" s="9" t="n">
        <v>-24.188</v>
      </c>
      <c r="O40" s="18">
        <f>IFERROR(B40+D40+E40-F40,"")</f>
        <v/>
      </c>
      <c r="P40" s="15">
        <f>IFERROR(B40/(B40+D40+E40),"")</f>
        <v/>
      </c>
      <c r="Q40" s="15">
        <f>IFERROR((D40+E40)/G40,"")</f>
        <v/>
      </c>
    </row>
    <row r="41">
      <c r="A41" s="10" t="n">
        <v>43770</v>
      </c>
      <c r="B41" s="11" t="n">
        <v>223.273</v>
      </c>
      <c r="C41" s="11" t="n">
        <v>200.435</v>
      </c>
      <c r="D41" s="11" t="n">
        <v>529.818</v>
      </c>
      <c r="E41" s="11" t="n">
        <v>106.549</v>
      </c>
      <c r="F41" s="11" t="n">
        <v>36.929</v>
      </c>
      <c r="G41" s="11" t="n">
        <v>694.67</v>
      </c>
      <c r="H41" s="11" t="n">
        <v>741.187</v>
      </c>
      <c r="I41" s="11" t="n">
        <v>110.173</v>
      </c>
      <c r="J41" s="11" t="n">
        <v>175.174</v>
      </c>
      <c r="K41" s="11" t="n">
        <v>86.908</v>
      </c>
      <c r="L41" s="11" t="n">
        <v>276.626</v>
      </c>
      <c r="M41" s="11" t="n">
        <v>224.364</v>
      </c>
      <c r="N41" s="11" t="n">
        <v>21.491</v>
      </c>
      <c r="O41" s="18">
        <f>IFERROR(B41+D41+E41-F41,"")</f>
        <v/>
      </c>
      <c r="P41" s="15">
        <f>IFERROR(B41/(B41+D41+E41),"")</f>
        <v/>
      </c>
      <c r="Q41" s="15">
        <f>IFERROR((D41+E41)/G41,"")</f>
        <v/>
      </c>
    </row>
    <row r="42">
      <c r="A42" s="8" t="n">
        <v>43800</v>
      </c>
      <c r="B42" s="9" t="n">
        <v>207.596</v>
      </c>
      <c r="C42" s="9" t="n">
        <v>202.352</v>
      </c>
      <c r="D42" s="9" t="n">
        <v>529.473</v>
      </c>
      <c r="E42" s="9" t="n">
        <v>117.77</v>
      </c>
      <c r="F42" s="9" t="n">
        <v>36.092</v>
      </c>
      <c r="G42" s="9" t="n">
        <v>733.409</v>
      </c>
      <c r="H42" s="9" t="n">
        <v>761.559</v>
      </c>
      <c r="I42" s="9" t="n">
        <v>127.112</v>
      </c>
      <c r="J42" s="9" t="n">
        <v>170.975</v>
      </c>
      <c r="K42" s="9" t="n">
        <v>91.33199999999999</v>
      </c>
      <c r="L42" s="9" t="n">
        <v>264.906</v>
      </c>
      <c r="M42" s="9" t="n">
        <v>211.637</v>
      </c>
      <c r="N42" s="9" t="n">
        <v>-32.432</v>
      </c>
      <c r="O42" s="18">
        <f>IFERROR(B42+D42+E42-F42,"")</f>
        <v/>
      </c>
      <c r="P42" s="15">
        <f>IFERROR(B42/(B42+D42+E42),"")</f>
        <v/>
      </c>
      <c r="Q42" s="15">
        <f>IFERROR((D42+E42)/G42,"")</f>
        <v/>
      </c>
    </row>
    <row r="43">
      <c r="A43" s="10" t="n">
        <v>43831</v>
      </c>
      <c r="B43" s="11" t="n">
        <v>205.504</v>
      </c>
      <c r="C43" s="11" t="n">
        <v>193.939</v>
      </c>
      <c r="D43" s="11" t="n">
        <v>494.764</v>
      </c>
      <c r="E43" s="11" t="n">
        <v>111.549</v>
      </c>
      <c r="F43" s="11" t="n">
        <v>35.526</v>
      </c>
      <c r="G43" s="11" t="n">
        <v>667.071</v>
      </c>
      <c r="H43" s="11" t="n">
        <v>716.514</v>
      </c>
      <c r="I43" s="11" t="n">
        <v>104.244</v>
      </c>
      <c r="J43" s="11" t="n">
        <v>149.284</v>
      </c>
      <c r="K43" s="11" t="n">
        <v>90.327</v>
      </c>
      <c r="L43" s="11" t="n">
        <v>258.616</v>
      </c>
      <c r="M43" s="11" t="n">
        <v>220.158</v>
      </c>
      <c r="N43" s="11" t="n">
        <v>-2.329</v>
      </c>
      <c r="O43" s="18">
        <f>IFERROR(B43+D43+E43-F43,"")</f>
        <v/>
      </c>
      <c r="P43" s="15">
        <f>IFERROR(B43/(B43+D43+E43),"")</f>
        <v/>
      </c>
      <c r="Q43" s="15">
        <f>IFERROR((D43+E43)/G43,"")</f>
        <v/>
      </c>
    </row>
    <row r="44">
      <c r="A44" s="8" t="n">
        <v>43862</v>
      </c>
      <c r="B44" s="9" t="n">
        <v>175.524</v>
      </c>
      <c r="C44" s="9" t="n">
        <v>158.868</v>
      </c>
      <c r="D44" s="9" t="n">
        <v>526.557</v>
      </c>
      <c r="E44" s="9" t="n">
        <v>104.182</v>
      </c>
      <c r="F44" s="9" t="n">
        <v>15.042</v>
      </c>
      <c r="G44" s="9" t="n">
        <v>677.151</v>
      </c>
      <c r="H44" s="9" t="n">
        <v>727.491</v>
      </c>
      <c r="I44" s="9" t="n">
        <v>80.09099999999999</v>
      </c>
      <c r="J44" s="9" t="n">
        <v>154.583</v>
      </c>
      <c r="K44" s="9" t="n">
        <v>87.441</v>
      </c>
      <c r="L44" s="9" t="n">
        <v>263.654</v>
      </c>
      <c r="M44" s="9" t="n">
        <v>219.506</v>
      </c>
      <c r="N44" s="9" t="n">
        <v>9.888</v>
      </c>
      <c r="O44" s="18">
        <f>IFERROR(B44+D44+E44-F44,"")</f>
        <v/>
      </c>
      <c r="P44" s="15">
        <f>IFERROR(B44/(B44+D44+E44),"")</f>
        <v/>
      </c>
      <c r="Q44" s="15">
        <f>IFERROR((D44+E44)/G44,"")</f>
        <v/>
      </c>
    </row>
    <row r="45">
      <c r="A45" s="10" t="n">
        <v>43891</v>
      </c>
      <c r="B45" s="11" t="n">
        <v>200.962</v>
      </c>
      <c r="C45" s="11" t="n">
        <v>194.877</v>
      </c>
      <c r="D45" s="11" t="n">
        <v>482.769</v>
      </c>
      <c r="E45" s="11" t="n">
        <v>115.782</v>
      </c>
      <c r="F45" s="11" t="n">
        <v>6.884</v>
      </c>
      <c r="G45" s="11" t="n">
        <v>644.324</v>
      </c>
      <c r="H45" s="11" t="n">
        <v>684.787</v>
      </c>
      <c r="I45" s="11" t="n">
        <v>123.489</v>
      </c>
      <c r="J45" s="11" t="n">
        <v>169.246</v>
      </c>
      <c r="K45" s="11" t="n">
        <v>87.876</v>
      </c>
      <c r="L45" s="11" t="n">
        <v>256.142</v>
      </c>
      <c r="M45" s="11" t="n">
        <v>218.412</v>
      </c>
      <c r="N45" s="11" t="n">
        <v>32.523</v>
      </c>
      <c r="O45" s="18">
        <f>IFERROR(B45+D45+E45-F45,"")</f>
        <v/>
      </c>
      <c r="P45" s="15">
        <f>IFERROR(B45/(B45+D45+E45),"")</f>
        <v/>
      </c>
      <c r="Q45" s="15">
        <f>IFERROR((D45+E45)/G45,"")</f>
        <v/>
      </c>
    </row>
    <row r="46">
      <c r="A46" s="8" t="n">
        <v>43922</v>
      </c>
      <c r="B46" s="9" t="n">
        <v>230.632</v>
      </c>
      <c r="C46" s="9" t="n">
        <v>214.015</v>
      </c>
      <c r="D46" s="9" t="n">
        <v>262.585</v>
      </c>
      <c r="E46" s="9" t="n">
        <v>80.131</v>
      </c>
      <c r="F46" s="9" t="n">
        <v>6.621</v>
      </c>
      <c r="G46" s="9" t="n">
        <v>447.062</v>
      </c>
      <c r="H46" s="9" t="n">
        <v>504.395</v>
      </c>
      <c r="I46" s="9" t="n">
        <v>145.853</v>
      </c>
      <c r="J46" s="9" t="n">
        <v>122.99</v>
      </c>
      <c r="K46" s="9" t="n">
        <v>71.371</v>
      </c>
      <c r="L46" s="9" t="n">
        <v>198.882</v>
      </c>
      <c r="M46" s="9" t="n">
        <v>179.327</v>
      </c>
      <c r="N46" s="9" t="n">
        <v>39.534</v>
      </c>
      <c r="O46" s="18">
        <f>IFERROR(B46+D46+E46-F46,"")</f>
        <v/>
      </c>
      <c r="P46" s="15">
        <f>IFERROR(B46/(B46+D46+E46),"")</f>
        <v/>
      </c>
      <c r="Q46" s="15">
        <f>IFERROR((D46+E46)/G46,"")</f>
        <v/>
      </c>
    </row>
    <row r="47">
      <c r="A47" s="10" t="n">
        <v>43952</v>
      </c>
      <c r="B47" s="11" t="n">
        <v>226.879</v>
      </c>
      <c r="C47" s="11" t="n">
        <v>208.766</v>
      </c>
      <c r="D47" s="11" t="n">
        <v>283.75</v>
      </c>
      <c r="E47" s="11" t="n">
        <v>76.962</v>
      </c>
      <c r="F47" s="11" t="n">
        <v>16.098</v>
      </c>
      <c r="G47" s="11" t="n">
        <v>473.102</v>
      </c>
      <c r="H47" s="11" t="n">
        <v>541.029</v>
      </c>
      <c r="I47" s="11" t="n">
        <v>148.169</v>
      </c>
      <c r="J47" s="11" t="n">
        <v>72.04900000000001</v>
      </c>
      <c r="K47" s="11" t="n">
        <v>66.117</v>
      </c>
      <c r="L47" s="11" t="n">
        <v>191.698</v>
      </c>
      <c r="M47" s="11" t="n">
        <v>185.357</v>
      </c>
      <c r="N47" s="11" t="n">
        <v>21.429</v>
      </c>
      <c r="O47" s="18">
        <f>IFERROR(B47+D47+E47-F47,"")</f>
        <v/>
      </c>
      <c r="P47" s="15">
        <f>IFERROR(B47/(B47+D47+E47),"")</f>
        <v/>
      </c>
      <c r="Q47" s="15">
        <f>IFERROR((D47+E47)/G47,"")</f>
        <v/>
      </c>
    </row>
    <row r="48">
      <c r="A48" s="8" t="n">
        <v>43983</v>
      </c>
      <c r="B48" s="9" t="n">
        <v>221.301</v>
      </c>
      <c r="C48" s="9" t="n">
        <v>215.13</v>
      </c>
      <c r="D48" s="9" t="n">
        <v>242.762</v>
      </c>
      <c r="E48" s="9" t="n">
        <v>113.548</v>
      </c>
      <c r="F48" s="9" t="n">
        <v>14.345</v>
      </c>
      <c r="G48" s="9" t="n">
        <v>535.312</v>
      </c>
      <c r="H48" s="9" t="n">
        <v>599.746</v>
      </c>
      <c r="I48" s="9" t="n">
        <v>129.952</v>
      </c>
      <c r="J48" s="9" t="n">
        <v>76.741</v>
      </c>
      <c r="K48" s="9" t="n">
        <v>93.604</v>
      </c>
      <c r="L48" s="9" t="n">
        <v>207.481</v>
      </c>
      <c r="M48" s="9" t="n">
        <v>202.289</v>
      </c>
      <c r="N48" s="9" t="n">
        <v>-85.59399999999999</v>
      </c>
      <c r="O48" s="18">
        <f>IFERROR(B48+D48+E48-F48,"")</f>
        <v/>
      </c>
      <c r="P48" s="15">
        <f>IFERROR(B48/(B48+D48+E48),"")</f>
        <v/>
      </c>
      <c r="Q48" s="15">
        <f>IFERROR((D48+E48)/G48,"")</f>
        <v/>
      </c>
    </row>
    <row r="49">
      <c r="A49" s="10" t="n">
        <v>44013</v>
      </c>
      <c r="B49" s="11" t="n">
        <v>151.657</v>
      </c>
      <c r="C49" s="11" t="n">
        <v>145.044</v>
      </c>
      <c r="D49" s="11" t="n">
        <v>380.441</v>
      </c>
      <c r="E49" s="11" t="n">
        <v>113.127</v>
      </c>
      <c r="F49" s="11" t="n">
        <v>5.725</v>
      </c>
      <c r="G49" s="11" t="n">
        <v>557.711</v>
      </c>
      <c r="H49" s="11" t="n">
        <v>638.244</v>
      </c>
      <c r="I49" s="11" t="n">
        <v>92.541</v>
      </c>
      <c r="J49" s="11" t="n">
        <v>83.61799999999999</v>
      </c>
      <c r="K49" s="11" t="n">
        <v>82.145</v>
      </c>
      <c r="L49" s="11" t="n">
        <v>208.709</v>
      </c>
      <c r="M49" s="11" t="n">
        <v>201.713</v>
      </c>
      <c r="N49" s="11" t="n">
        <v>-31.338</v>
      </c>
      <c r="O49" s="18">
        <f>IFERROR(B49+D49+E49-F49,"")</f>
        <v/>
      </c>
      <c r="P49" s="15">
        <f>IFERROR(B49/(B49+D49+E49),"")</f>
        <v/>
      </c>
      <c r="Q49" s="15">
        <f>IFERROR((D49+E49)/G49,"")</f>
        <v/>
      </c>
    </row>
    <row r="50">
      <c r="A50" s="8" t="n">
        <v>44044</v>
      </c>
      <c r="B50" s="9" t="n">
        <v>174.677</v>
      </c>
      <c r="C50" s="9" t="n">
        <v>154.853</v>
      </c>
      <c r="D50" s="9" t="n">
        <v>406.059</v>
      </c>
      <c r="E50" s="9" t="n">
        <v>117.878</v>
      </c>
      <c r="F50" s="9" t="n">
        <v>13.216</v>
      </c>
      <c r="G50" s="9" t="n">
        <v>552.248</v>
      </c>
      <c r="H50" s="9" t="n">
        <v>662.4400000000001</v>
      </c>
      <c r="I50" s="9" t="n">
        <v>108.417</v>
      </c>
      <c r="J50" s="9" t="n">
        <v>115.681</v>
      </c>
      <c r="K50" s="9" t="n">
        <v>80.974</v>
      </c>
      <c r="L50" s="9" t="n">
        <v>195.173</v>
      </c>
      <c r="M50" s="9" t="n">
        <v>196.255</v>
      </c>
      <c r="N50" s="9" t="n">
        <v>15.271</v>
      </c>
      <c r="O50" s="18">
        <f>IFERROR(B50+D50+E50-F50,"")</f>
        <v/>
      </c>
      <c r="P50" s="15">
        <f>IFERROR(B50/(B50+D50+E50),"")</f>
        <v/>
      </c>
      <c r="Q50" s="15">
        <f>IFERROR((D50+E50)/G50,"")</f>
        <v/>
      </c>
    </row>
    <row r="51">
      <c r="A51" s="10" t="n">
        <v>44075</v>
      </c>
      <c r="B51" s="11" t="n">
        <v>192.668</v>
      </c>
      <c r="C51" s="11" t="n">
        <v>188.068</v>
      </c>
      <c r="D51" s="11" t="n">
        <v>387.178</v>
      </c>
      <c r="E51" s="11" t="n">
        <v>131.768</v>
      </c>
      <c r="F51" s="11" t="n">
        <v>4.586</v>
      </c>
      <c r="G51" s="11" t="n">
        <v>560.583</v>
      </c>
      <c r="H51" s="11" t="n">
        <v>666.4640000000001</v>
      </c>
      <c r="I51" s="11" t="n">
        <v>128.199</v>
      </c>
      <c r="J51" s="11" t="n">
        <v>85.831</v>
      </c>
      <c r="K51" s="11" t="n">
        <v>87.521</v>
      </c>
      <c r="L51" s="11" t="n">
        <v>196.029</v>
      </c>
      <c r="M51" s="11" t="n">
        <v>197.528</v>
      </c>
      <c r="N51" s="11" t="n">
        <v>14.676</v>
      </c>
      <c r="O51" s="18">
        <f>IFERROR(B51+D51+E51-F51,"")</f>
        <v/>
      </c>
      <c r="P51" s="15">
        <f>IFERROR(B51/(B51+D51+E51),"")</f>
        <v/>
      </c>
      <c r="Q51" s="15">
        <f>IFERROR((D51+E51)/G51,"")</f>
        <v/>
      </c>
    </row>
    <row r="52">
      <c r="A52" s="8" t="n">
        <v>44105</v>
      </c>
      <c r="B52" s="9" t="n">
        <v>189.919</v>
      </c>
      <c r="C52" s="9" t="n">
        <v>180.989</v>
      </c>
      <c r="D52" s="9" t="n">
        <v>368.839</v>
      </c>
      <c r="E52" s="9" t="n">
        <v>126.406</v>
      </c>
      <c r="F52" s="9" t="n">
        <v>12.557</v>
      </c>
      <c r="G52" s="9" t="n">
        <v>578.631</v>
      </c>
      <c r="H52" s="9" t="n">
        <v>686.932</v>
      </c>
      <c r="I52" s="9" t="n">
        <v>103.772</v>
      </c>
      <c r="J52" s="9" t="n">
        <v>97.02800000000001</v>
      </c>
      <c r="K52" s="9" t="n">
        <v>93.806</v>
      </c>
      <c r="L52" s="9" t="n">
        <v>216.549</v>
      </c>
      <c r="M52" s="9" t="n">
        <v>213.108</v>
      </c>
      <c r="N52" s="9" t="n">
        <v>-32.431</v>
      </c>
      <c r="O52" s="18">
        <f>IFERROR(B52+D52+E52-F52,"")</f>
        <v/>
      </c>
      <c r="P52" s="15">
        <f>IFERROR(B52/(B52+D52+E52),"")</f>
        <v/>
      </c>
      <c r="Q52" s="15">
        <f>IFERROR((D52+E52)/G52,"")</f>
        <v/>
      </c>
    </row>
    <row r="53">
      <c r="A53" s="10" t="n">
        <v>44136</v>
      </c>
      <c r="B53" s="11" t="n">
        <v>190.218</v>
      </c>
      <c r="C53" s="11" t="n">
        <v>167.366</v>
      </c>
      <c r="D53" s="11" t="n">
        <v>439.151</v>
      </c>
      <c r="E53" s="11" t="n">
        <v>137.793</v>
      </c>
      <c r="F53" s="11" t="n">
        <v>3.67</v>
      </c>
      <c r="G53" s="11" t="n">
        <v>559.688</v>
      </c>
      <c r="H53" s="11" t="n">
        <v>690.052</v>
      </c>
      <c r="I53" s="11" t="n">
        <v>84.825</v>
      </c>
      <c r="J53" s="11" t="n">
        <v>115.121</v>
      </c>
      <c r="K53" s="11" t="n">
        <v>80.31999999999999</v>
      </c>
      <c r="L53" s="11" t="n">
        <v>209.313</v>
      </c>
      <c r="M53" s="11" t="n">
        <v>213.911</v>
      </c>
      <c r="N53" s="11" t="n">
        <v>66.011</v>
      </c>
      <c r="O53" s="18">
        <f>IFERROR(B53+D53+E53-F53,"")</f>
        <v/>
      </c>
      <c r="P53" s="15">
        <f>IFERROR(B53/(B53+D53+E53),"")</f>
        <v/>
      </c>
      <c r="Q53" s="15">
        <f>IFERROR((D53+E53)/G53,"")</f>
        <v/>
      </c>
    </row>
    <row r="54">
      <c r="A54" s="8" t="n">
        <v>44166</v>
      </c>
      <c r="B54" s="9" t="n">
        <v>213.374</v>
      </c>
      <c r="C54" s="9" t="n">
        <v>204.948</v>
      </c>
      <c r="D54" s="9" t="n">
        <v>387.259</v>
      </c>
      <c r="E54" s="9" t="n">
        <v>147.443</v>
      </c>
      <c r="F54" s="9" t="n">
        <v>11.451</v>
      </c>
      <c r="G54" s="9" t="n">
        <v>607.546</v>
      </c>
      <c r="H54" s="9" t="n">
        <v>732.9059999999999</v>
      </c>
      <c r="I54" s="9" t="n">
        <v>112.654</v>
      </c>
      <c r="J54" s="9" t="n">
        <v>128.488</v>
      </c>
      <c r="K54" s="9" t="n">
        <v>94.89700000000001</v>
      </c>
      <c r="L54" s="9" t="n">
        <v>208.539</v>
      </c>
      <c r="M54" s="9" t="n">
        <v>206.841</v>
      </c>
      <c r="N54" s="9" t="n">
        <v>-18.364</v>
      </c>
      <c r="O54" s="18">
        <f>IFERROR(B54+D54+E54-F54,"")</f>
        <v/>
      </c>
      <c r="P54" s="15">
        <f>IFERROR(B54/(B54+D54+E54),"")</f>
        <v/>
      </c>
      <c r="Q54" s="15">
        <f>IFERROR((D54+E54)/G54,"")</f>
        <v/>
      </c>
    </row>
    <row r="55">
      <c r="A55" s="10" t="n">
        <v>44197</v>
      </c>
      <c r="B55" s="11" t="n">
        <v>239.993</v>
      </c>
      <c r="C55" s="11" t="n">
        <v>226.929</v>
      </c>
      <c r="D55" s="11" t="n">
        <v>332.881</v>
      </c>
      <c r="E55" s="11" t="n">
        <v>129.791</v>
      </c>
      <c r="F55" s="11" t="n">
        <v>3.633</v>
      </c>
      <c r="G55" s="11" t="n">
        <v>506.686</v>
      </c>
      <c r="H55" s="11" t="n">
        <v>654.879</v>
      </c>
      <c r="I55" s="11" t="n">
        <v>124.172</v>
      </c>
      <c r="J55" s="11" t="n">
        <v>96.063</v>
      </c>
      <c r="K55" s="11" t="n">
        <v>89.884</v>
      </c>
      <c r="L55" s="11" t="n">
        <v>177.805</v>
      </c>
      <c r="M55" s="11" t="n">
        <v>196.347</v>
      </c>
      <c r="N55" s="11" t="n">
        <v>62.556</v>
      </c>
      <c r="O55" s="18">
        <f>IFERROR(B55+D55+E55-F55,"")</f>
        <v/>
      </c>
      <c r="P55" s="15">
        <f>IFERROR(B55/(B55+D55+E55),"")</f>
        <v/>
      </c>
      <c r="Q55" s="15">
        <f>IFERROR((D55+E55)/G55,"")</f>
        <v/>
      </c>
    </row>
    <row r="56">
      <c r="A56" s="8" t="n">
        <v>44228</v>
      </c>
      <c r="B56" s="9" t="n">
        <v>262.621</v>
      </c>
      <c r="C56" s="9" t="n">
        <v>246.941</v>
      </c>
      <c r="D56" s="9" t="n">
        <v>288.683</v>
      </c>
      <c r="E56" s="9" t="n">
        <v>123.757</v>
      </c>
      <c r="F56" s="9" t="n">
        <v>3.811</v>
      </c>
      <c r="G56" s="9" t="n">
        <v>521.976</v>
      </c>
      <c r="H56" s="9" t="n">
        <v>679.148</v>
      </c>
      <c r="I56" s="9" t="n">
        <v>105.283</v>
      </c>
      <c r="J56" s="9" t="n">
        <v>66.199</v>
      </c>
      <c r="K56" s="9" t="n">
        <v>71.089</v>
      </c>
      <c r="L56" s="9" t="n">
        <v>189.961</v>
      </c>
      <c r="M56" s="9" t="n">
        <v>208.457</v>
      </c>
      <c r="N56" s="9" t="n">
        <v>25.518</v>
      </c>
      <c r="O56" s="18">
        <f>IFERROR(B56+D56+E56-F56,"")</f>
        <v/>
      </c>
      <c r="P56" s="15">
        <f>IFERROR(B56/(B56+D56+E56),"")</f>
        <v/>
      </c>
      <c r="Q56" s="15">
        <f>IFERROR((D56+E56)/G56,"")</f>
        <v/>
      </c>
    </row>
    <row r="57">
      <c r="A57" s="10" t="n">
        <v>44256</v>
      </c>
      <c r="B57" s="11" t="n">
        <v>273.109</v>
      </c>
      <c r="C57" s="11" t="n">
        <v>263.387</v>
      </c>
      <c r="D57" s="11" t="n">
        <v>240.004</v>
      </c>
      <c r="E57" s="11" t="n">
        <v>158.472</v>
      </c>
      <c r="F57" s="11" t="n">
        <v>3.39</v>
      </c>
      <c r="G57" s="11" t="n">
        <v>589.385</v>
      </c>
      <c r="H57" s="11" t="n">
        <v>720.799</v>
      </c>
      <c r="I57" s="11" t="n">
        <v>142.269</v>
      </c>
      <c r="J57" s="11" t="n">
        <v>99.99299999999999</v>
      </c>
      <c r="K57" s="11" t="n">
        <v>109.038</v>
      </c>
      <c r="L57" s="11" t="n">
        <v>232.715</v>
      </c>
      <c r="M57" s="11" t="n">
        <v>226.703</v>
      </c>
      <c r="N57" s="11" t="n">
        <v>-79.661</v>
      </c>
      <c r="O57" s="18">
        <f>IFERROR(B57+D57+E57-F57,"")</f>
        <v/>
      </c>
      <c r="P57" s="15">
        <f>IFERROR(B57/(B57+D57+E57),"")</f>
        <v/>
      </c>
      <c r="Q57" s="15">
        <f>IFERROR((D57+E57)/G57,"")</f>
        <v/>
      </c>
    </row>
    <row r="58">
      <c r="A58" s="8" t="n">
        <v>44287</v>
      </c>
      <c r="B58" s="9" t="n">
        <v>208.853</v>
      </c>
      <c r="C58" s="9" t="n">
        <v>198.249</v>
      </c>
      <c r="D58" s="9" t="n">
        <v>359.943</v>
      </c>
      <c r="E58" s="9" t="n">
        <v>175.056</v>
      </c>
      <c r="F58" s="9" t="n">
        <v>5.833</v>
      </c>
      <c r="G58" s="9" t="n">
        <v>566.648</v>
      </c>
      <c r="H58" s="9" t="n">
        <v>723.121</v>
      </c>
      <c r="I58" s="9" t="n">
        <v>96.342</v>
      </c>
      <c r="J58" s="9" t="n">
        <v>119.511</v>
      </c>
      <c r="K58" s="9" t="n">
        <v>112.317</v>
      </c>
      <c r="L58" s="9" t="n">
        <v>218.303</v>
      </c>
      <c r="M58" s="9" t="n">
        <v>218.178</v>
      </c>
      <c r="N58" s="9" t="n">
        <v>-3.685</v>
      </c>
      <c r="O58" s="18">
        <f>IFERROR(B58+D58+E58-F58,"")</f>
        <v/>
      </c>
      <c r="P58" s="15">
        <f>IFERROR(B58/(B58+D58+E58),"")</f>
        <v/>
      </c>
      <c r="Q58" s="15">
        <f>IFERROR((D58+E58)/G58,"")</f>
        <v/>
      </c>
    </row>
    <row r="59">
      <c r="A59" s="10" t="n">
        <v>44317</v>
      </c>
      <c r="B59" s="11" t="n">
        <v>231.767</v>
      </c>
      <c r="C59" s="11" t="n">
        <v>217.921</v>
      </c>
      <c r="D59" s="11" t="n">
        <v>380.859</v>
      </c>
      <c r="E59" s="11" t="n">
        <v>168.308</v>
      </c>
      <c r="F59" s="11" t="n">
        <v>5.57</v>
      </c>
      <c r="G59" s="11" t="n">
        <v>570.1950000000001</v>
      </c>
      <c r="H59" s="11" t="n">
        <v>751.621</v>
      </c>
      <c r="I59" s="11" t="n">
        <v>107.892</v>
      </c>
      <c r="J59" s="11" t="n">
        <v>141.248</v>
      </c>
      <c r="K59" s="11" t="n">
        <v>122.191</v>
      </c>
      <c r="L59" s="11" t="n">
        <v>210.153</v>
      </c>
      <c r="M59" s="11" t="n">
        <v>222.33</v>
      </c>
      <c r="N59" s="11" t="n">
        <v>36.86</v>
      </c>
      <c r="O59" s="18">
        <f>IFERROR(B59+D59+E59-F59,"")</f>
        <v/>
      </c>
      <c r="P59" s="15">
        <f>IFERROR(B59/(B59+D59+E59),"")</f>
        <v/>
      </c>
      <c r="Q59" s="15">
        <f>IFERROR((D59+E59)/G59,"")</f>
        <v/>
      </c>
    </row>
    <row r="60">
      <c r="A60" s="8" t="n">
        <v>44348</v>
      </c>
      <c r="B60" s="9" t="n">
        <v>207.086</v>
      </c>
      <c r="C60" s="9" t="n">
        <v>194.049</v>
      </c>
      <c r="D60" s="9" t="n">
        <v>395.864</v>
      </c>
      <c r="E60" s="9" t="n">
        <v>205.05</v>
      </c>
      <c r="F60" s="9" t="n">
        <v>4.386</v>
      </c>
      <c r="G60" s="9" t="n">
        <v>576.057</v>
      </c>
      <c r="H60" s="9" t="n">
        <v>745.747</v>
      </c>
      <c r="I60" s="9" t="n">
        <v>101.459</v>
      </c>
      <c r="J60" s="9" t="n">
        <v>131.1</v>
      </c>
      <c r="K60" s="9" t="n">
        <v>109.488</v>
      </c>
      <c r="L60" s="9" t="n">
        <v>206.512</v>
      </c>
      <c r="M60" s="9" t="n">
        <v>221.467</v>
      </c>
      <c r="N60" s="9" t="n">
        <v>22.507</v>
      </c>
      <c r="O60" s="18">
        <f>IFERROR(B60+D60+E60-F60,"")</f>
        <v/>
      </c>
      <c r="P60" s="15">
        <f>IFERROR(B60/(B60+D60+E60),"")</f>
        <v/>
      </c>
      <c r="Q60" s="15">
        <f>IFERROR((D60+E60)/G60,"")</f>
        <v/>
      </c>
    </row>
    <row r="61">
      <c r="A61" s="10" t="n">
        <v>44378</v>
      </c>
      <c r="B61" s="11" t="n">
        <v>215.956</v>
      </c>
      <c r="C61" s="11" t="n">
        <v>209.813</v>
      </c>
      <c r="D61" s="11" t="n">
        <v>405.142</v>
      </c>
      <c r="E61" s="11" t="n">
        <v>202.049</v>
      </c>
      <c r="F61" s="11" t="n">
        <v>12.219</v>
      </c>
      <c r="G61" s="11" t="n">
        <v>576.171</v>
      </c>
      <c r="H61" s="11" t="n">
        <v>755.567</v>
      </c>
      <c r="I61" s="11" t="n">
        <v>114.469</v>
      </c>
      <c r="J61" s="11" t="n">
        <v>121.796</v>
      </c>
      <c r="K61" s="11" t="n">
        <v>109.499</v>
      </c>
      <c r="L61" s="11" t="n">
        <v>196.947</v>
      </c>
      <c r="M61" s="11" t="n">
        <v>214.334</v>
      </c>
      <c r="N61" s="11" t="n">
        <v>32.708</v>
      </c>
      <c r="O61" s="18">
        <f>IFERROR(B61+D61+E61-F61,"")</f>
        <v/>
      </c>
      <c r="P61" s="15">
        <f>IFERROR(B61/(B61+D61+E61),"")</f>
        <v/>
      </c>
      <c r="Q61" s="15">
        <f>IFERROR((D61+E61)/G61,"")</f>
        <v/>
      </c>
    </row>
    <row r="62">
      <c r="A62" s="8" t="n">
        <v>44409</v>
      </c>
      <c r="B62" s="9" t="n">
        <v>247.895</v>
      </c>
      <c r="C62" s="9" t="n">
        <v>236.85</v>
      </c>
      <c r="D62" s="9" t="n">
        <v>310.968</v>
      </c>
      <c r="E62" s="9" t="n">
        <v>189.832</v>
      </c>
      <c r="F62" s="9" t="n">
        <v>11.722</v>
      </c>
      <c r="G62" s="9" t="n">
        <v>549.808</v>
      </c>
      <c r="H62" s="9" t="n">
        <v>727.59</v>
      </c>
      <c r="I62" s="9" t="n">
        <v>107.073</v>
      </c>
      <c r="J62" s="9" t="n">
        <v>113.168</v>
      </c>
      <c r="K62" s="9" t="n">
        <v>102.356</v>
      </c>
      <c r="L62" s="9" t="n">
        <v>193.485</v>
      </c>
      <c r="M62" s="9" t="n">
        <v>203.689</v>
      </c>
      <c r="N62" s="9" t="n">
        <v>-2.667</v>
      </c>
      <c r="O62" s="18">
        <f>IFERROR(B62+D62+E62-F62,"")</f>
        <v/>
      </c>
      <c r="P62" s="15">
        <f>IFERROR(B62/(B62+D62+E62),"")</f>
        <v/>
      </c>
      <c r="Q62" s="15">
        <f>IFERROR((D62+E62)/G62,"")</f>
        <v/>
      </c>
    </row>
    <row r="63">
      <c r="A63" s="10" t="n">
        <v>44440</v>
      </c>
      <c r="B63" s="11" t="n">
        <v>245.854</v>
      </c>
      <c r="C63" s="11" t="n">
        <v>250.408</v>
      </c>
      <c r="D63" s="11" t="n">
        <v>309.799</v>
      </c>
      <c r="E63" s="11" t="n">
        <v>166.095</v>
      </c>
      <c r="F63" s="11" t="n">
        <v>3.272</v>
      </c>
      <c r="G63" s="11" t="n">
        <v>552.349</v>
      </c>
      <c r="H63" s="11" t="n">
        <v>736.418</v>
      </c>
      <c r="I63" s="11" t="n">
        <v>127.386</v>
      </c>
      <c r="J63" s="11" t="n">
        <v>64.67700000000001</v>
      </c>
      <c r="K63" s="11" t="n">
        <v>79.334</v>
      </c>
      <c r="L63" s="11" t="n">
        <v>188.957</v>
      </c>
      <c r="M63" s="11" t="n">
        <v>200.827</v>
      </c>
      <c r="N63" s="11" t="n">
        <v>0.032</v>
      </c>
      <c r="O63" s="18">
        <f>IFERROR(B63+D63+E63-F63,"")</f>
        <v/>
      </c>
      <c r="P63" s="15">
        <f>IFERROR(B63/(B63+D63+E63),"")</f>
        <v/>
      </c>
      <c r="Q63" s="15">
        <f>IFERROR((D63+E63)/G63,"")</f>
        <v/>
      </c>
    </row>
    <row r="64">
      <c r="A64" s="8" t="n">
        <v>44470</v>
      </c>
      <c r="B64" s="9" t="n">
        <v>252.121</v>
      </c>
      <c r="C64" s="9" t="n">
        <v>246.772</v>
      </c>
      <c r="D64" s="9" t="n">
        <v>312.83</v>
      </c>
      <c r="E64" s="9" t="n">
        <v>162.578</v>
      </c>
      <c r="F64" s="9" t="n">
        <v>11.225</v>
      </c>
      <c r="G64" s="9" t="n">
        <v>573.04</v>
      </c>
      <c r="H64" s="9" t="n">
        <v>761.617</v>
      </c>
      <c r="I64" s="9" t="n">
        <v>127.632</v>
      </c>
      <c r="J64" s="9" t="n">
        <v>72.68300000000001</v>
      </c>
      <c r="K64" s="9" t="n">
        <v>79.949</v>
      </c>
      <c r="L64" s="9" t="n">
        <v>203.074</v>
      </c>
      <c r="M64" s="9" t="n">
        <v>212.322</v>
      </c>
      <c r="N64" s="9" t="n">
        <v>-19.314</v>
      </c>
      <c r="O64" s="18">
        <f>IFERROR(B64+D64+E64-F64,"")</f>
        <v/>
      </c>
      <c r="P64" s="15">
        <f>IFERROR(B64/(B64+D64+E64),"")</f>
        <v/>
      </c>
      <c r="Q64" s="15">
        <f>IFERROR((D64+E64)/G64,"")</f>
        <v/>
      </c>
    </row>
    <row r="65">
      <c r="A65" s="10" t="n">
        <v>44501</v>
      </c>
      <c r="B65" s="11" t="n">
        <v>259.746</v>
      </c>
      <c r="C65" s="11" t="n">
        <v>247.618</v>
      </c>
      <c r="D65" s="11" t="n">
        <v>315.67</v>
      </c>
      <c r="E65" s="11" t="n">
        <v>143.006</v>
      </c>
      <c r="F65" s="11" t="n">
        <v>2.453</v>
      </c>
      <c r="G65" s="11" t="n">
        <v>632.047</v>
      </c>
      <c r="H65" s="11" t="n">
        <v>762.215</v>
      </c>
      <c r="I65" s="11" t="n">
        <v>118.964</v>
      </c>
      <c r="J65" s="11" t="n">
        <v>94.19799999999999</v>
      </c>
      <c r="K65" s="11" t="n">
        <v>76.941</v>
      </c>
      <c r="L65" s="11" t="n">
        <v>229.582</v>
      </c>
      <c r="M65" s="11" t="n">
        <v>223.293</v>
      </c>
      <c r="N65" s="11" t="n">
        <v>-59.083</v>
      </c>
      <c r="O65" s="18">
        <f>IFERROR(B65+D65+E65-F65,"")</f>
        <v/>
      </c>
      <c r="P65" s="15">
        <f>IFERROR(B65/(B65+D65+E65),"")</f>
        <v/>
      </c>
      <c r="Q65" s="15">
        <f>IFERROR((D65+E65)/G65,"")</f>
        <v/>
      </c>
    </row>
    <row r="66">
      <c r="A66" s="8" t="n">
        <v>44531</v>
      </c>
      <c r="B66" s="9" t="n">
        <v>273.142</v>
      </c>
      <c r="C66" s="9" t="n">
        <v>255.377</v>
      </c>
      <c r="D66" s="9" t="n">
        <v>435.48</v>
      </c>
      <c r="E66" s="9" t="n">
        <v>147.004</v>
      </c>
      <c r="F66" s="9" t="n">
        <v>13.021</v>
      </c>
      <c r="G66" s="9" t="n">
        <v>685.24</v>
      </c>
      <c r="H66" s="9" t="n">
        <v>813.905</v>
      </c>
      <c r="I66" s="9" t="n">
        <v>137.063</v>
      </c>
      <c r="J66" s="9" t="n">
        <v>106.734</v>
      </c>
      <c r="K66" s="9" t="n">
        <v>80.099</v>
      </c>
      <c r="L66" s="9" t="n">
        <v>224.024</v>
      </c>
      <c r="M66" s="9" t="n">
        <v>215.603</v>
      </c>
      <c r="N66" s="9" t="n">
        <v>10.361</v>
      </c>
      <c r="O66" s="18">
        <f>IFERROR(B66+D66+E66-F66,"")</f>
        <v/>
      </c>
      <c r="P66" s="15">
        <f>IFERROR(B66/(B66+D66+E66),"")</f>
        <v/>
      </c>
      <c r="Q66" s="15">
        <f>IFERROR((D66+E66)/G66,"")</f>
        <v/>
      </c>
    </row>
    <row r="67">
      <c r="A67" s="10" t="n">
        <v>44562</v>
      </c>
      <c r="B67" s="11" t="n">
        <v>288.358</v>
      </c>
      <c r="C67" s="11" t="n">
        <v>271.582</v>
      </c>
      <c r="D67" s="11" t="n">
        <v>377.253</v>
      </c>
      <c r="E67" s="11" t="n">
        <v>129.598</v>
      </c>
      <c r="F67" s="11" t="n">
        <v>3.85</v>
      </c>
      <c r="G67" s="11" t="n">
        <v>565.556</v>
      </c>
      <c r="H67" s="11" t="n">
        <v>704.003</v>
      </c>
      <c r="I67" s="11" t="n">
        <v>138.64</v>
      </c>
      <c r="J67" s="11" t="n">
        <v>97.08799999999999</v>
      </c>
      <c r="K67" s="11" t="n">
        <v>76.456</v>
      </c>
      <c r="L67" s="11" t="n">
        <v>193.448</v>
      </c>
      <c r="M67" s="11" t="n">
        <v>203.389</v>
      </c>
      <c r="N67" s="11" t="n">
        <v>96.205</v>
      </c>
      <c r="O67" s="18">
        <f>IFERROR(B67+D67+E67-F67,"")</f>
        <v/>
      </c>
      <c r="P67" s="15">
        <f>IFERROR(B67/(B67+D67+E67),"")</f>
        <v/>
      </c>
      <c r="Q67" s="15">
        <f>IFERROR((D67+E67)/G67,"")</f>
        <v/>
      </c>
    </row>
    <row r="68">
      <c r="A68" s="8" t="n">
        <v>44593</v>
      </c>
      <c r="B68" s="9" t="n">
        <v>324.606</v>
      </c>
      <c r="C68" s="9" t="n">
        <v>309.02</v>
      </c>
      <c r="D68" s="9" t="n">
        <v>295.341</v>
      </c>
      <c r="E68" s="9" t="n">
        <v>134.571</v>
      </c>
      <c r="F68" s="9" t="n">
        <v>12.446</v>
      </c>
      <c r="G68" s="9" t="n">
        <v>607.591</v>
      </c>
      <c r="H68" s="9" t="n">
        <v>761.888</v>
      </c>
      <c r="I68" s="9" t="n">
        <v>157.267</v>
      </c>
      <c r="J68" s="9" t="n">
        <v>86.479</v>
      </c>
      <c r="K68" s="9" t="n">
        <v>66.35899999999999</v>
      </c>
      <c r="L68" s="9" t="n">
        <v>225.855</v>
      </c>
      <c r="M68" s="9" t="n">
        <v>220.599</v>
      </c>
      <c r="N68" s="9" t="n">
        <v>-0.091</v>
      </c>
      <c r="O68" s="18">
        <f>IFERROR(B68+D68+E68-F68,"")</f>
        <v/>
      </c>
      <c r="P68" s="15">
        <f>IFERROR(B68/(B68+D68+E68),"")</f>
        <v/>
      </c>
      <c r="Q68" s="15">
        <f>IFERROR((D68+E68)/G68,"")</f>
        <v/>
      </c>
    </row>
    <row r="69">
      <c r="A69" s="10" t="n">
        <v>44621</v>
      </c>
      <c r="B69" s="11" t="n">
        <v>292.627</v>
      </c>
      <c r="C69" s="11" t="n">
        <v>272.606</v>
      </c>
      <c r="D69" s="11" t="n">
        <v>383.125</v>
      </c>
      <c r="E69" s="11" t="n">
        <v>135.684</v>
      </c>
      <c r="F69" s="11" t="n">
        <v>2.228</v>
      </c>
      <c r="G69" s="11" t="n">
        <v>693.7430000000001</v>
      </c>
      <c r="H69" s="11" t="n">
        <v>800.269</v>
      </c>
      <c r="I69" s="11" t="n">
        <v>153.875</v>
      </c>
      <c r="J69" s="11" t="n">
        <v>91.099</v>
      </c>
      <c r="K69" s="11" t="n">
        <v>68.423</v>
      </c>
      <c r="L69" s="11" t="n">
        <v>300.788</v>
      </c>
      <c r="M69" s="11" t="n">
        <v>246.992</v>
      </c>
      <c r="N69" s="11" t="n">
        <v>-20.219</v>
      </c>
      <c r="O69" s="18">
        <f>IFERROR(B69+D69+E69-F69,"")</f>
        <v/>
      </c>
      <c r="P69" s="15">
        <f>IFERROR(B69/(B69+D69+E69),"")</f>
        <v/>
      </c>
      <c r="Q69" s="15">
        <f>IFERROR((D69+E69)/G69,"")</f>
        <v/>
      </c>
    </row>
    <row r="70">
      <c r="A70" s="8" t="n">
        <v>44652</v>
      </c>
      <c r="B70" s="9" t="n">
        <v>315.205</v>
      </c>
      <c r="C70" s="9" t="n">
        <v>302.859</v>
      </c>
      <c r="D70" s="9" t="n">
        <v>423.08</v>
      </c>
      <c r="E70" s="9" t="n">
        <v>100.496</v>
      </c>
      <c r="F70" s="9" t="n">
        <v>12.232</v>
      </c>
      <c r="G70" s="9" t="n">
        <v>700.25</v>
      </c>
      <c r="H70" s="9" t="n">
        <v>804.754</v>
      </c>
      <c r="I70" s="9" t="n">
        <v>182.339</v>
      </c>
      <c r="J70" s="9" t="n">
        <v>181.939</v>
      </c>
      <c r="K70" s="9" t="n">
        <v>72.899</v>
      </c>
      <c r="L70" s="9" t="n">
        <v>322.709</v>
      </c>
      <c r="M70" s="9" t="n">
        <v>254.686</v>
      </c>
      <c r="N70" s="9" t="n">
        <v>25.803</v>
      </c>
      <c r="O70" s="18">
        <f>IFERROR(B70+D70+E70-F70,"")</f>
        <v/>
      </c>
      <c r="P70" s="15">
        <f>IFERROR(B70/(B70+D70+E70),"")</f>
        <v/>
      </c>
      <c r="Q70" s="15">
        <f>IFERROR((D70+E70)/G70,"")</f>
        <v/>
      </c>
    </row>
    <row r="71">
      <c r="A71" s="10" t="n">
        <v>44682</v>
      </c>
      <c r="B71" s="11" t="n">
        <v>297.534</v>
      </c>
      <c r="C71" s="11" t="n">
        <v>287.05</v>
      </c>
      <c r="D71" s="11" t="n">
        <v>460.513</v>
      </c>
      <c r="E71" s="11" t="n">
        <v>110.453</v>
      </c>
      <c r="F71" s="11" t="n">
        <v>4.016</v>
      </c>
      <c r="G71" s="11" t="n">
        <v>709.332</v>
      </c>
      <c r="H71" s="11" t="n">
        <v>818.398</v>
      </c>
      <c r="I71" s="11" t="n">
        <v>169.093</v>
      </c>
      <c r="J71" s="11" t="n">
        <v>203.83</v>
      </c>
      <c r="K71" s="11" t="n">
        <v>90.887</v>
      </c>
      <c r="L71" s="11" t="n">
        <v>341.642</v>
      </c>
      <c r="M71" s="11" t="n">
        <v>266.016</v>
      </c>
      <c r="N71" s="11" t="n">
        <v>44.699</v>
      </c>
      <c r="O71" s="18">
        <f>IFERROR(B71+D71+E71-F71,"")</f>
        <v/>
      </c>
      <c r="P71" s="15">
        <f>IFERROR(B71/(B71+D71+E71),"")</f>
        <v/>
      </c>
      <c r="Q71" s="15">
        <f>IFERROR((D71+E71)/G71,"")</f>
        <v/>
      </c>
    </row>
    <row r="72">
      <c r="A72" s="8" t="n">
        <v>44713</v>
      </c>
      <c r="B72" s="9" t="n">
        <v>210.395</v>
      </c>
      <c r="C72" s="9" t="n">
        <v>205.012</v>
      </c>
      <c r="D72" s="9" t="n">
        <v>479.115</v>
      </c>
      <c r="E72" s="9" t="n">
        <v>124.554</v>
      </c>
      <c r="F72" s="9" t="n">
        <v>11.628</v>
      </c>
      <c r="G72" s="9" t="n">
        <v>721.3440000000001</v>
      </c>
      <c r="H72" s="9" t="n">
        <v>811.181</v>
      </c>
      <c r="I72" s="9" t="n">
        <v>116.979</v>
      </c>
      <c r="J72" s="9" t="n">
        <v>236.42</v>
      </c>
      <c r="K72" s="9" t="n">
        <v>101.685</v>
      </c>
      <c r="L72" s="9" t="n">
        <v>351.84</v>
      </c>
      <c r="M72" s="9" t="n">
        <v>263.145</v>
      </c>
      <c r="N72" s="9" t="n">
        <v>-43.462</v>
      </c>
      <c r="O72" s="18">
        <f>IFERROR(B72+D72+E72-F72,"")</f>
        <v/>
      </c>
      <c r="P72" s="15">
        <f>IFERROR(B72/(B72+D72+E72),"")</f>
        <v/>
      </c>
      <c r="Q72" s="15">
        <f>IFERROR((D72+E72)/G72,"")</f>
        <v/>
      </c>
    </row>
    <row r="73">
      <c r="A73" s="10" t="n">
        <v>44743</v>
      </c>
      <c r="B73" s="11" t="n">
        <v>280.152</v>
      </c>
      <c r="C73" s="11" t="n">
        <v>265.074</v>
      </c>
      <c r="D73" s="11" t="n">
        <v>522.825</v>
      </c>
      <c r="E73" s="11" t="n">
        <v>136.73</v>
      </c>
      <c r="F73" s="11" t="n">
        <v>10.824</v>
      </c>
      <c r="G73" s="11" t="n">
        <v>700.8150000000001</v>
      </c>
      <c r="H73" s="11" t="n">
        <v>806.046</v>
      </c>
      <c r="I73" s="11" t="n">
        <v>150.386</v>
      </c>
      <c r="J73" s="11" t="n">
        <v>236.431</v>
      </c>
      <c r="K73" s="11" t="n">
        <v>99.756</v>
      </c>
      <c r="L73" s="11" t="n">
        <v>340.15</v>
      </c>
      <c r="M73" s="11" t="n">
        <v>244.764</v>
      </c>
      <c r="N73" s="11" t="n">
        <v>91.33799999999999</v>
      </c>
      <c r="O73" s="18">
        <f>IFERROR(B73+D73+E73-F73,"")</f>
        <v/>
      </c>
      <c r="P73" s="15">
        <f>IFERROR(B73/(B73+D73+E73),"")</f>
        <v/>
      </c>
      <c r="Q73" s="15">
        <f>IFERROR((D73+E73)/G73,"")</f>
        <v/>
      </c>
    </row>
    <row r="74">
      <c r="A74" s="8" t="n">
        <v>44774</v>
      </c>
      <c r="B74" s="9" t="n">
        <v>268.182</v>
      </c>
      <c r="C74" s="9" t="n">
        <v>247.84</v>
      </c>
      <c r="D74" s="9" t="n">
        <v>445.562</v>
      </c>
      <c r="E74" s="9" t="n">
        <v>136.26</v>
      </c>
      <c r="F74" s="9" t="n">
        <v>11.828</v>
      </c>
      <c r="G74" s="9" t="n">
        <v>680.923</v>
      </c>
      <c r="H74" s="9" t="n">
        <v>801.059</v>
      </c>
      <c r="I74" s="9" t="n">
        <v>135.838</v>
      </c>
      <c r="J74" s="9" t="n">
        <v>215.361</v>
      </c>
      <c r="K74" s="9" t="n">
        <v>99.51300000000001</v>
      </c>
      <c r="L74" s="9" t="n">
        <v>320.956</v>
      </c>
      <c r="M74" s="9" t="n">
        <v>242.984</v>
      </c>
      <c r="N74" s="9" t="n">
        <v>20.992</v>
      </c>
      <c r="O74" s="18">
        <f>IFERROR(B74+D74+E74-F74,"")</f>
        <v/>
      </c>
      <c r="P74" s="15">
        <f>IFERROR(B74/(B74+D74+E74),"")</f>
        <v/>
      </c>
      <c r="Q74" s="15">
        <f>IFERROR((D74+E74)/G74,"")</f>
        <v/>
      </c>
    </row>
    <row r="75">
      <c r="A75" s="10" t="n">
        <v>44805</v>
      </c>
      <c r="B75" s="11" t="n">
        <v>258.639</v>
      </c>
      <c r="C75" s="11" t="n">
        <v>242.075</v>
      </c>
      <c r="D75" s="11" t="n">
        <v>403.301</v>
      </c>
      <c r="E75" s="11" t="n">
        <v>138.009</v>
      </c>
      <c r="F75" s="11" t="n">
        <v>11.826</v>
      </c>
      <c r="G75" s="11" t="n">
        <v>675.35</v>
      </c>
      <c r="H75" s="11" t="n">
        <v>806.544</v>
      </c>
      <c r="I75" s="11" t="n">
        <v>125.304</v>
      </c>
      <c r="J75" s="11" t="n">
        <v>193.29</v>
      </c>
      <c r="K75" s="11" t="n">
        <v>100.703</v>
      </c>
      <c r="L75" s="11" t="n">
        <v>314.74</v>
      </c>
      <c r="M75" s="11" t="n">
        <v>236.71</v>
      </c>
      <c r="N75" s="11" t="n">
        <v>-25.235</v>
      </c>
      <c r="O75" s="18">
        <f>IFERROR(B75+D75+E75-F75,"")</f>
        <v/>
      </c>
      <c r="P75" s="15">
        <f>IFERROR(B75/(B75+D75+E75),"")</f>
        <v/>
      </c>
      <c r="Q75" s="15">
        <f>IFERROR((D75+E75)/G75,"")</f>
        <v/>
      </c>
    </row>
    <row r="76">
      <c r="A76" s="8" t="n">
        <v>44835</v>
      </c>
      <c r="B76" s="9" t="n">
        <v>298.184</v>
      </c>
      <c r="C76" s="9" t="n">
        <v>282.59</v>
      </c>
      <c r="D76" s="9" t="n">
        <v>481.238</v>
      </c>
      <c r="E76" s="9" t="n">
        <v>107.572</v>
      </c>
      <c r="F76" s="9" t="n">
        <v>3.022</v>
      </c>
      <c r="G76" s="9" t="n">
        <v>648.019</v>
      </c>
      <c r="H76" s="9" t="n">
        <v>816</v>
      </c>
      <c r="I76" s="9" t="n">
        <v>151.355</v>
      </c>
      <c r="J76" s="9" t="n">
        <v>204.098</v>
      </c>
      <c r="K76" s="9" t="n">
        <v>90.855</v>
      </c>
      <c r="L76" s="9" t="n">
        <v>319.622</v>
      </c>
      <c r="M76" s="9" t="n">
        <v>247.052</v>
      </c>
      <c r="N76" s="9" t="n">
        <v>128.381</v>
      </c>
      <c r="O76" s="18">
        <f>IFERROR(B76+D76+E76-F76,"")</f>
        <v/>
      </c>
      <c r="P76" s="15">
        <f>IFERROR(B76/(B76+D76+E76),"")</f>
        <v/>
      </c>
      <c r="Q76" s="15">
        <f>IFERROR((D76+E76)/G76,"")</f>
        <v/>
      </c>
    </row>
    <row r="77">
      <c r="A77" s="10" t="n">
        <v>44866</v>
      </c>
      <c r="B77" s="11" t="n">
        <v>319.754</v>
      </c>
      <c r="C77" s="11" t="n">
        <v>312.916</v>
      </c>
      <c r="D77" s="11" t="n">
        <v>373.241</v>
      </c>
      <c r="E77" s="11" t="n">
        <v>150.547</v>
      </c>
      <c r="F77" s="11" t="n">
        <v>9.85</v>
      </c>
      <c r="G77" s="11" t="n">
        <v>672.0700000000001</v>
      </c>
      <c r="H77" s="11" t="n">
        <v>807.318</v>
      </c>
      <c r="I77" s="11" t="n">
        <v>151.943</v>
      </c>
      <c r="J77" s="11" t="n">
        <v>173.966</v>
      </c>
      <c r="K77" s="11" t="n">
        <v>105.017</v>
      </c>
      <c r="L77" s="11" t="n">
        <v>315.562</v>
      </c>
      <c r="M77" s="11" t="n">
        <v>255.522</v>
      </c>
      <c r="N77" s="11" t="n">
        <v>11.075</v>
      </c>
      <c r="O77" s="18">
        <f>IFERROR(B77+D77+E77-F77,"")</f>
        <v/>
      </c>
      <c r="P77" s="15">
        <f>IFERROR(B77/(B77+D77+E77),"")</f>
        <v/>
      </c>
      <c r="Q77" s="15">
        <f>IFERROR((D77+E77)/G77,"")</f>
        <v/>
      </c>
    </row>
    <row r="78">
      <c r="A78" s="8" t="n">
        <v>44896</v>
      </c>
      <c r="B78" s="9" t="n">
        <v>277.086</v>
      </c>
      <c r="C78" s="9" t="n">
        <v>256.914</v>
      </c>
      <c r="D78" s="9" t="n">
        <v>402.654</v>
      </c>
      <c r="E78" s="9" t="n">
        <v>148.325</v>
      </c>
      <c r="F78" s="9" t="n">
        <v>2.579</v>
      </c>
      <c r="G78" s="9" t="n">
        <v>672.881</v>
      </c>
      <c r="H78" s="9" t="n">
        <v>835.792</v>
      </c>
      <c r="I78" s="9" t="n">
        <v>124.098</v>
      </c>
      <c r="J78" s="9" t="n">
        <v>175.642</v>
      </c>
      <c r="K78" s="9" t="n">
        <v>124.346</v>
      </c>
      <c r="L78" s="9" t="n">
        <v>298.452</v>
      </c>
      <c r="M78" s="9" t="n">
        <v>240.847</v>
      </c>
      <c r="N78" s="9" t="n">
        <v>4.28</v>
      </c>
      <c r="O78" s="18">
        <f>IFERROR(B78+D78+E78-F78,"")</f>
        <v/>
      </c>
      <c r="P78" s="15">
        <f>IFERROR(B78/(B78+D78+E78),"")</f>
        <v/>
      </c>
      <c r="Q78" s="15">
        <f>IFERROR((D78+E78)/G78,"")</f>
        <v/>
      </c>
    </row>
    <row r="79">
      <c r="A79" s="10" t="n">
        <v>44927</v>
      </c>
      <c r="B79" s="11" t="n">
        <v>322.4</v>
      </c>
      <c r="C79" s="11" t="n">
        <v>298.273</v>
      </c>
      <c r="D79" s="11" t="n">
        <v>375.561</v>
      </c>
      <c r="E79" s="11" t="n">
        <v>133.354</v>
      </c>
      <c r="F79" s="11" t="n">
        <v>3.416</v>
      </c>
      <c r="G79" s="11" t="n">
        <v>625.144</v>
      </c>
      <c r="H79" s="11" t="n">
        <v>792.3630000000001</v>
      </c>
      <c r="I79" s="11" t="n">
        <v>136.536</v>
      </c>
      <c r="J79" s="11" t="n">
        <v>168.936</v>
      </c>
      <c r="K79" s="11" t="n">
        <v>90.809</v>
      </c>
      <c r="L79" s="11" t="n">
        <v>274.177</v>
      </c>
      <c r="M79" s="11" t="n">
        <v>242.579</v>
      </c>
      <c r="N79" s="11" t="n">
        <v>69.40000000000001</v>
      </c>
      <c r="O79" s="18">
        <f>IFERROR(B79+D79+E79-F79,"")</f>
        <v/>
      </c>
      <c r="P79" s="15">
        <f>IFERROR(B79/(B79+D79+E79),"")</f>
        <v/>
      </c>
      <c r="Q79" s="15">
        <f>IFERROR((D79+E79)/G79,"")</f>
        <v/>
      </c>
    </row>
    <row r="80">
      <c r="A80" s="8" t="n">
        <v>44958</v>
      </c>
      <c r="B80" s="9" t="n">
        <v>287.553</v>
      </c>
      <c r="C80" s="9" t="n">
        <v>260.041</v>
      </c>
      <c r="D80" s="9" t="n">
        <v>408.698</v>
      </c>
      <c r="E80" s="9" t="n">
        <v>124.817</v>
      </c>
      <c r="F80" s="9" t="n">
        <v>13.19</v>
      </c>
      <c r="G80" s="9" t="n">
        <v>641.482</v>
      </c>
      <c r="H80" s="9" t="n">
        <v>813.943</v>
      </c>
      <c r="I80" s="9" t="n">
        <v>105.05</v>
      </c>
      <c r="J80" s="9" t="n">
        <v>171.745</v>
      </c>
      <c r="K80" s="9" t="n">
        <v>93.89100000000001</v>
      </c>
      <c r="L80" s="9" t="n">
        <v>289.089</v>
      </c>
      <c r="M80" s="9" t="n">
        <v>249.658</v>
      </c>
      <c r="N80" s="9" t="n">
        <v>41.579</v>
      </c>
      <c r="O80" s="18">
        <f>IFERROR(B80+D80+E80-F80,"")</f>
        <v/>
      </c>
      <c r="P80" s="15">
        <f>IFERROR(B80/(B80+D80+E80),"")</f>
        <v/>
      </c>
      <c r="Q80" s="15">
        <f>IFERROR((D80+E80)/G80,"")</f>
        <v/>
      </c>
    </row>
    <row r="81">
      <c r="A81" s="10" t="n">
        <v>44986</v>
      </c>
      <c r="B81" s="11" t="n">
        <v>305.529</v>
      </c>
      <c r="C81" s="11" t="n">
        <v>275.481</v>
      </c>
      <c r="D81" s="11" t="n">
        <v>365.997</v>
      </c>
      <c r="E81" s="11" t="n">
        <v>145.243</v>
      </c>
      <c r="F81" s="11" t="n">
        <v>5.387</v>
      </c>
      <c r="G81" s="11" t="n">
        <v>646.855</v>
      </c>
      <c r="H81" s="11" t="n">
        <v>815.023</v>
      </c>
      <c r="I81" s="11" t="n">
        <v>151.565</v>
      </c>
      <c r="J81" s="11" t="n">
        <v>195.791</v>
      </c>
      <c r="K81" s="11" t="n">
        <v>115.391</v>
      </c>
      <c r="L81" s="11" t="n">
        <v>289.393</v>
      </c>
      <c r="M81" s="11" t="n">
        <v>255.95</v>
      </c>
      <c r="N81" s="11" t="n">
        <v>19.284</v>
      </c>
      <c r="O81" s="18">
        <f>IFERROR(B81+D81+E81-F81,"")</f>
        <v/>
      </c>
      <c r="P81" s="15">
        <f>IFERROR(B81/(B81+D81+E81),"")</f>
        <v/>
      </c>
      <c r="Q81" s="15">
        <f>IFERROR((D81+E81)/G81,"")</f>
        <v/>
      </c>
    </row>
    <row r="82">
      <c r="A82" s="8" t="n">
        <v>45017</v>
      </c>
      <c r="B82" s="9" t="n">
        <v>324.235</v>
      </c>
      <c r="C82" s="9" t="n">
        <v>291.318</v>
      </c>
      <c r="D82" s="9" t="n">
        <v>390.867</v>
      </c>
      <c r="E82" s="9" t="n">
        <v>125.786</v>
      </c>
      <c r="F82" s="9" t="n">
        <v>11.004</v>
      </c>
      <c r="G82" s="9" t="n">
        <v>620.33</v>
      </c>
      <c r="H82" s="9" t="n">
        <v>800.6900000000001</v>
      </c>
      <c r="I82" s="9" t="n">
        <v>162.391</v>
      </c>
      <c r="J82" s="9" t="n">
        <v>155.7</v>
      </c>
      <c r="K82" s="9" t="n">
        <v>103.668</v>
      </c>
      <c r="L82" s="9" t="n">
        <v>267.735</v>
      </c>
      <c r="M82" s="9" t="n">
        <v>241.32</v>
      </c>
      <c r="N82" s="9" t="n">
        <v>83.768</v>
      </c>
      <c r="O82" s="18">
        <f>IFERROR(B82+D82+E82-F82,"")</f>
        <v/>
      </c>
      <c r="P82" s="15">
        <f>IFERROR(B82/(B82+D82+E82),"")</f>
        <v/>
      </c>
      <c r="Q82" s="15">
        <f>IFERROR((D82+E82)/G82,"")</f>
        <v/>
      </c>
    </row>
    <row r="83">
      <c r="A83" s="10" t="n">
        <v>45047</v>
      </c>
      <c r="B83" s="11" t="n">
        <v>291.607</v>
      </c>
      <c r="C83" s="11" t="n">
        <v>261.782</v>
      </c>
      <c r="D83" s="11" t="n">
        <v>399.435</v>
      </c>
      <c r="E83" s="11" t="n">
        <v>137.549</v>
      </c>
      <c r="F83" s="11" t="n">
        <v>2.405</v>
      </c>
      <c r="G83" s="11" t="n">
        <v>644.777</v>
      </c>
      <c r="H83" s="11" t="n">
        <v>818.105</v>
      </c>
      <c r="I83" s="11" t="n">
        <v>123.222</v>
      </c>
      <c r="J83" s="11" t="n">
        <v>142.519</v>
      </c>
      <c r="K83" s="11" t="n">
        <v>85.922</v>
      </c>
      <c r="L83" s="11" t="n">
        <v>272.037</v>
      </c>
      <c r="M83" s="11" t="n">
        <v>255.862</v>
      </c>
      <c r="N83" s="11" t="n">
        <v>43.86</v>
      </c>
      <c r="O83" s="18">
        <f>IFERROR(B83+D83+E83-F83,"")</f>
        <v/>
      </c>
      <c r="P83" s="15">
        <f>IFERROR(B83/(B83+D83+E83),"")</f>
        <v/>
      </c>
      <c r="Q83" s="15">
        <f>IFERROR((D83+E83)/G83,"")</f>
        <v/>
      </c>
    </row>
    <row r="84">
      <c r="A84" s="8" t="n">
        <v>45078</v>
      </c>
      <c r="B84" s="9" t="n">
        <v>273.449</v>
      </c>
      <c r="C84" s="9" t="n">
        <v>245.601</v>
      </c>
      <c r="D84" s="9" t="n">
        <v>400.056</v>
      </c>
      <c r="E84" s="9" t="n">
        <v>140.1</v>
      </c>
      <c r="F84" s="9" t="n">
        <v>3.391</v>
      </c>
      <c r="G84" s="9" t="n">
        <v>667.521</v>
      </c>
      <c r="H84" s="9" t="n">
        <v>833.26</v>
      </c>
      <c r="I84" s="9" t="n">
        <v>121.566</v>
      </c>
      <c r="J84" s="9" t="n">
        <v>159.93</v>
      </c>
      <c r="K84" s="9" t="n">
        <v>88.14</v>
      </c>
      <c r="L84" s="9" t="n">
        <v>296.931</v>
      </c>
      <c r="M84" s="9" t="n">
        <v>255.292</v>
      </c>
      <c r="N84" s="9" t="n">
        <v>2.593</v>
      </c>
      <c r="O84" s="18">
        <f>IFERROR(B84+D84+E84-F84,"")</f>
        <v/>
      </c>
      <c r="P84" s="15">
        <f>IFERROR(B84/(B84+D84+E84),"")</f>
        <v/>
      </c>
      <c r="Q84" s="15">
        <f>IFERROR((D84+E84)/G84,"")</f>
        <v/>
      </c>
    </row>
    <row r="85">
      <c r="A85" s="10" t="n">
        <v>45108</v>
      </c>
      <c r="B85" s="11" t="n">
        <v>299.244</v>
      </c>
      <c r="C85" s="11" t="n">
        <v>266.115</v>
      </c>
      <c r="D85" s="11" t="n">
        <v>370.732</v>
      </c>
      <c r="E85" s="11" t="n">
        <v>137.905</v>
      </c>
      <c r="F85" s="11" t="n">
        <v>2.214</v>
      </c>
      <c r="G85" s="11" t="n">
        <v>658.17</v>
      </c>
      <c r="H85" s="11" t="n">
        <v>822.3440000000001</v>
      </c>
      <c r="I85" s="11" t="n">
        <v>153.553</v>
      </c>
      <c r="J85" s="11" t="n">
        <v>159.274</v>
      </c>
      <c r="K85" s="11" t="n">
        <v>84.20699999999999</v>
      </c>
      <c r="L85" s="11" t="n">
        <v>295.494</v>
      </c>
      <c r="M85" s="11" t="n">
        <v>243.935</v>
      </c>
      <c r="N85" s="11" t="n">
        <v>9.590999999999999</v>
      </c>
      <c r="O85" s="18">
        <f>IFERROR(B85+D85+E85-F85,"")</f>
        <v/>
      </c>
      <c r="P85" s="15">
        <f>IFERROR(B85/(B85+D85+E85),"")</f>
        <v/>
      </c>
      <c r="Q85" s="15">
        <f>IFERROR((D85+E85)/G85,"")</f>
        <v/>
      </c>
    </row>
    <row r="86">
      <c r="A86" s="8" t="n">
        <v>45139</v>
      </c>
      <c r="B86" s="9" t="n">
        <v>276.809</v>
      </c>
      <c r="C86" s="9" t="n">
        <v>241.877</v>
      </c>
      <c r="D86" s="9" t="n">
        <v>470.992</v>
      </c>
      <c r="E86" s="9" t="n">
        <v>153.008</v>
      </c>
      <c r="F86" s="9" t="n">
        <v>8.058</v>
      </c>
      <c r="G86" s="9" t="n">
        <v>669.506</v>
      </c>
      <c r="H86" s="9" t="n">
        <v>809.198</v>
      </c>
      <c r="I86" s="9" t="n">
        <v>152.422</v>
      </c>
      <c r="J86" s="9" t="n">
        <v>191.063</v>
      </c>
      <c r="K86" s="9" t="n">
        <v>106.455</v>
      </c>
      <c r="L86" s="9" t="n">
        <v>313.035</v>
      </c>
      <c r="M86" s="9" t="n">
        <v>246.542</v>
      </c>
      <c r="N86" s="9" t="n">
        <v>70.23699999999999</v>
      </c>
      <c r="O86" s="18">
        <f>IFERROR(B86+D86+E86-F86,"")</f>
        <v/>
      </c>
      <c r="P86" s="15">
        <f>IFERROR(B86/(B86+D86+E86),"")</f>
        <v/>
      </c>
      <c r="Q86" s="15">
        <f>IFERROR((D86+E86)/G86,"")</f>
        <v/>
      </c>
    </row>
    <row r="87">
      <c r="A87" s="10" t="n">
        <v>45170</v>
      </c>
      <c r="B87" s="11" t="n">
        <v>263.501</v>
      </c>
      <c r="C87" s="11" t="n">
        <v>226.133</v>
      </c>
      <c r="D87" s="11" t="n">
        <v>464.914</v>
      </c>
      <c r="E87" s="11" t="n">
        <v>148.976</v>
      </c>
      <c r="F87" s="11" t="n">
        <v>1.158</v>
      </c>
      <c r="G87" s="11" t="n">
        <v>660.295</v>
      </c>
      <c r="H87" s="11" t="n">
        <v>830.6660000000001</v>
      </c>
      <c r="I87" s="11" t="n">
        <v>99.735</v>
      </c>
      <c r="J87" s="11" t="n">
        <v>198.722</v>
      </c>
      <c r="K87" s="11" t="n">
        <v>112.465</v>
      </c>
      <c r="L87" s="11" t="n">
        <v>295.52</v>
      </c>
      <c r="M87" s="11" t="n">
        <v>241.959</v>
      </c>
      <c r="N87" s="11" t="n">
        <v>66.962</v>
      </c>
      <c r="O87" s="18">
        <f>IFERROR(B87+D87+E87-F87,"")</f>
        <v/>
      </c>
      <c r="P87" s="15">
        <f>IFERROR(B87/(B87+D87+E87),"")</f>
        <v/>
      </c>
      <c r="Q87" s="15">
        <f>IFERROR((D87+E87)/G87,"")</f>
        <v/>
      </c>
    </row>
    <row r="88">
      <c r="A88" s="8" t="n">
        <v>45200</v>
      </c>
      <c r="B88" s="9" t="n">
        <v>196.257</v>
      </c>
      <c r="C88" s="9" t="n">
        <v>167.824</v>
      </c>
      <c r="D88" s="9" t="n">
        <v>456.281</v>
      </c>
      <c r="E88" s="9" t="n">
        <v>145.301</v>
      </c>
      <c r="F88" s="9" t="n">
        <v>8.167</v>
      </c>
      <c r="G88" s="9" t="n">
        <v>650.422</v>
      </c>
      <c r="H88" s="9" t="n">
        <v>819.272</v>
      </c>
      <c r="I88" s="9" t="n">
        <v>107.029</v>
      </c>
      <c r="J88" s="9" t="n">
        <v>229.322</v>
      </c>
      <c r="K88" s="9" t="n">
        <v>85.43300000000001</v>
      </c>
      <c r="L88" s="9" t="n">
        <v>290.309</v>
      </c>
      <c r="M88" s="9" t="n">
        <v>245.589</v>
      </c>
      <c r="N88" s="9" t="n">
        <v>-6.051</v>
      </c>
      <c r="O88" s="18">
        <f>IFERROR(B88+D88+E88-F88,"")</f>
        <v/>
      </c>
      <c r="P88" s="15">
        <f>IFERROR(B88/(B88+D88+E88),"")</f>
        <v/>
      </c>
      <c r="Q88" s="15">
        <f>IFERROR((D88+E88)/G88,"")</f>
        <v/>
      </c>
    </row>
    <row r="89">
      <c r="A89" s="10" t="n">
        <v>45231</v>
      </c>
      <c r="B89" s="11" t="n">
        <v>250.256</v>
      </c>
      <c r="C89" s="11" t="n">
        <v>222.384</v>
      </c>
      <c r="D89" s="11" t="n">
        <v>429.608</v>
      </c>
      <c r="E89" s="11" t="n">
        <v>141.914</v>
      </c>
      <c r="F89" s="11" t="n">
        <v>9.087</v>
      </c>
      <c r="G89" s="11" t="n">
        <v>668.833</v>
      </c>
      <c r="H89" s="11" t="n">
        <v>810.4450000000001</v>
      </c>
      <c r="I89" s="11" t="n">
        <v>144.582</v>
      </c>
      <c r="J89" s="11" t="n">
        <v>152.476</v>
      </c>
      <c r="K89" s="11" t="n">
        <v>103.005</v>
      </c>
      <c r="L89" s="11" t="n">
        <v>287.741</v>
      </c>
      <c r="M89" s="11" t="n">
        <v>249.872</v>
      </c>
      <c r="N89" s="11" t="n">
        <v>1.945</v>
      </c>
      <c r="O89" s="18">
        <f>IFERROR(B89+D89+E89-F89,"")</f>
        <v/>
      </c>
      <c r="P89" s="15">
        <f>IFERROR(B89/(B89+D89+E89),"")</f>
        <v/>
      </c>
      <c r="Q89" s="15">
        <f>IFERROR((D89+E89)/G89,"")</f>
        <v/>
      </c>
    </row>
    <row r="90">
      <c r="A90" s="8" t="n">
        <v>45261</v>
      </c>
      <c r="B90" s="9" t="n">
        <v>299.3</v>
      </c>
      <c r="C90" s="9" t="n">
        <v>271.535</v>
      </c>
      <c r="D90" s="9" t="n">
        <v>494.897</v>
      </c>
      <c r="E90" s="9" t="n">
        <v>104.961</v>
      </c>
      <c r="F90" s="9" t="n">
        <v>0</v>
      </c>
      <c r="G90" s="9" t="n">
        <v>687.427</v>
      </c>
      <c r="H90" s="9" t="n">
        <v>779.405</v>
      </c>
      <c r="I90" s="9" t="n">
        <v>157.1</v>
      </c>
      <c r="J90" s="9" t="n">
        <v>157.139</v>
      </c>
      <c r="K90" s="9" t="n">
        <v>84.68899999999999</v>
      </c>
      <c r="L90" s="9" t="n">
        <v>270.859</v>
      </c>
      <c r="M90" s="9" t="n">
        <v>215.271</v>
      </c>
      <c r="N90" s="9" t="n">
        <v>106.771</v>
      </c>
      <c r="O90" s="18">
        <f>IFERROR(B90+D90+E90-F90,"")</f>
        <v/>
      </c>
      <c r="P90" s="15">
        <f>IFERROR(B90/(B90+D90+E90),"")</f>
        <v/>
      </c>
      <c r="Q90" s="15">
        <f>IFERROR((D90+E90)/G90,"")</f>
        <v/>
      </c>
    </row>
    <row r="91">
      <c r="A91" s="10" t="n">
        <v>45292</v>
      </c>
      <c r="B91" s="11" t="n">
        <v>333.973</v>
      </c>
      <c r="C91" s="11" t="n">
        <v>307.654</v>
      </c>
      <c r="D91" s="11" t="n">
        <v>375.806</v>
      </c>
      <c r="E91" s="11" t="n">
        <v>117.801</v>
      </c>
      <c r="F91" s="11" t="n">
        <v>8.079000000000001</v>
      </c>
      <c r="G91" s="11" t="n">
        <v>631.244</v>
      </c>
      <c r="H91" s="11" t="n">
        <v>797.619</v>
      </c>
      <c r="I91" s="11" t="n">
        <v>192.892</v>
      </c>
      <c r="J91" s="11" t="n">
        <v>107.818</v>
      </c>
      <c r="K91" s="11" t="n">
        <v>68.521</v>
      </c>
      <c r="L91" s="11" t="n">
        <v>248.617</v>
      </c>
      <c r="M91" s="11" t="n">
        <v>243.467</v>
      </c>
      <c r="N91" s="11" t="n">
        <v>70.456</v>
      </c>
      <c r="O91" s="18">
        <f>IFERROR(B91+D91+E91-F91,"")</f>
        <v/>
      </c>
      <c r="P91" s="15">
        <f>IFERROR(B91/(B91+D91+E91),"")</f>
        <v/>
      </c>
      <c r="Q91" s="15">
        <f>IFERROR((D91+E91)/G91,"")</f>
        <v/>
      </c>
    </row>
    <row r="92">
      <c r="A92" s="8" t="n">
        <v>45323</v>
      </c>
      <c r="B92" s="9" t="n">
        <v>340.368</v>
      </c>
      <c r="C92" s="9" t="n">
        <v>310.486</v>
      </c>
      <c r="D92" s="9" t="n">
        <v>411.768</v>
      </c>
      <c r="E92" s="9" t="n">
        <v>118.481</v>
      </c>
      <c r="F92" s="9" t="n">
        <v>9.314</v>
      </c>
      <c r="G92" s="9" t="n">
        <v>653.739</v>
      </c>
      <c r="H92" s="9" t="n">
        <v>828.388</v>
      </c>
      <c r="I92" s="9" t="n">
        <v>168.203</v>
      </c>
      <c r="J92" s="9" t="n">
        <v>126.219</v>
      </c>
      <c r="K92" s="9" t="n">
        <v>68.10599999999999</v>
      </c>
      <c r="L92" s="9" t="n">
        <v>278.965</v>
      </c>
      <c r="M92" s="9" t="n">
        <v>249.594</v>
      </c>
      <c r="N92" s="9" t="n">
        <v>89.083</v>
      </c>
      <c r="O92" s="18">
        <f>IFERROR(B92+D92+E92-F92,"")</f>
        <v/>
      </c>
      <c r="P92" s="15">
        <f>IFERROR(B92/(B92+D92+E92),"")</f>
        <v/>
      </c>
      <c r="Q92" s="15">
        <f>IFERROR((D92+E92)/G92,"")</f>
        <v/>
      </c>
    </row>
    <row r="93">
      <c r="A93" s="10" t="n">
        <v>45352</v>
      </c>
      <c r="B93" s="11" t="n">
        <v>380.139</v>
      </c>
      <c r="C93" s="11" t="n">
        <v>350.394</v>
      </c>
      <c r="D93" s="11" t="n">
        <v>326.532</v>
      </c>
      <c r="E93" s="11" t="n">
        <v>124.516</v>
      </c>
      <c r="F93" s="11" t="n">
        <v>1.348</v>
      </c>
      <c r="G93" s="11" t="n">
        <v>660.537</v>
      </c>
      <c r="H93" s="11" t="n">
        <v>827.082</v>
      </c>
      <c r="I93" s="11" t="n">
        <v>211.883</v>
      </c>
      <c r="J93" s="11" t="n">
        <v>118.315</v>
      </c>
      <c r="K93" s="11" t="n">
        <v>60.498</v>
      </c>
      <c r="L93" s="11" t="n">
        <v>290.983</v>
      </c>
      <c r="M93" s="11" t="n">
        <v>241.103</v>
      </c>
      <c r="N93" s="11" t="n">
        <v>44.785</v>
      </c>
      <c r="O93" s="18">
        <f>IFERROR(B93+D93+E93-F93,"")</f>
        <v/>
      </c>
      <c r="P93" s="15">
        <f>IFERROR(B93/(B93+D93+E93),"")</f>
        <v/>
      </c>
      <c r="Q93" s="15">
        <f>IFERROR((D93+E93)/G93,"")</f>
        <v/>
      </c>
    </row>
    <row r="94">
      <c r="A94" s="8" t="n">
        <v>45383</v>
      </c>
      <c r="B94" s="9" t="n">
        <v>325.128</v>
      </c>
      <c r="C94" s="9" t="n">
        <v>297.107</v>
      </c>
      <c r="D94" s="9" t="n">
        <v>355.032</v>
      </c>
      <c r="E94" s="9" t="n">
        <v>128.294</v>
      </c>
      <c r="F94" s="9" t="n">
        <v>0.367</v>
      </c>
      <c r="G94" s="9" t="n">
        <v>670.066</v>
      </c>
      <c r="H94" s="9" t="n">
        <v>830.556</v>
      </c>
      <c r="I94" s="9" t="n">
        <v>189.585</v>
      </c>
      <c r="J94" s="9" t="n">
        <v>146.1</v>
      </c>
      <c r="K94" s="9" t="n">
        <v>85.702</v>
      </c>
      <c r="L94" s="9" t="n">
        <v>317.416</v>
      </c>
      <c r="M94" s="9" t="n">
        <v>261.187</v>
      </c>
      <c r="N94" s="9" t="n">
        <v>9.727</v>
      </c>
      <c r="O94" s="18">
        <f>IFERROR(B94+D94+E94-F94,"")</f>
        <v/>
      </c>
      <c r="P94" s="15">
        <f>IFERROR(B94/(B94+D94+E94),"")</f>
        <v/>
      </c>
      <c r="Q94" s="15">
        <f>IFERROR((D94+E94)/G94,"")</f>
        <v/>
      </c>
    </row>
    <row r="95">
      <c r="A95" s="10" t="n">
        <v>45413</v>
      </c>
      <c r="B95" s="11" t="n">
        <v>295.763</v>
      </c>
      <c r="C95" s="11" t="n">
        <v>267.044</v>
      </c>
      <c r="D95" s="11" t="n">
        <v>409.824</v>
      </c>
      <c r="E95" s="11" t="n">
        <v>109.848</v>
      </c>
      <c r="F95" s="11" t="n">
        <v>0</v>
      </c>
      <c r="G95" s="11" t="n">
        <v>696.783</v>
      </c>
      <c r="H95" s="11" t="n">
        <v>847.377</v>
      </c>
      <c r="I95" s="11" t="n">
        <v>144.642</v>
      </c>
      <c r="J95" s="11" t="n">
        <v>172.988</v>
      </c>
      <c r="K95" s="11" t="n">
        <v>74.42</v>
      </c>
      <c r="L95" s="11" t="n">
        <v>320.755</v>
      </c>
      <c r="M95" s="11" t="n">
        <v>258.948</v>
      </c>
      <c r="N95" s="11" t="n">
        <v>8.804</v>
      </c>
      <c r="O95" s="18">
        <f>IFERROR(B95+D95+E95-F95,"")</f>
        <v/>
      </c>
      <c r="P95" s="15">
        <f>IFERROR(B95/(B95+D95+E95),"")</f>
        <v/>
      </c>
      <c r="Q95" s="15">
        <f>IFERROR((D95+E95)/G95,"")</f>
        <v/>
      </c>
    </row>
    <row r="96">
      <c r="A96" s="8" t="n">
        <v>45444</v>
      </c>
      <c r="B96" s="9" t="n">
        <v>312.807</v>
      </c>
      <c r="C96" s="9" t="n">
        <v>278.841</v>
      </c>
      <c r="D96" s="9" t="n">
        <v>419.671</v>
      </c>
      <c r="E96" s="9" t="n">
        <v>147.658</v>
      </c>
      <c r="F96" s="9" t="n">
        <v>0</v>
      </c>
      <c r="G96" s="9" t="n">
        <v>670.996</v>
      </c>
      <c r="H96" s="9" t="n">
        <v>839.0170000000001</v>
      </c>
      <c r="I96" s="9" t="n">
        <v>176.253</v>
      </c>
      <c r="J96" s="9" t="n">
        <v>206.147</v>
      </c>
      <c r="K96" s="9" t="n">
        <v>93.59699999999999</v>
      </c>
      <c r="L96" s="9" t="n">
        <v>322.738</v>
      </c>
      <c r="M96" s="9" t="n">
        <v>248.562</v>
      </c>
      <c r="N96" s="9" t="n">
        <v>61.482</v>
      </c>
      <c r="O96" s="18">
        <f>IFERROR(B96+D96+E96-F96,"")</f>
        <v/>
      </c>
      <c r="P96" s="15">
        <f>IFERROR(B96/(B96+D96+E96),"")</f>
        <v/>
      </c>
      <c r="Q96" s="15">
        <f>IFERROR((D96+E96)/G96,"")</f>
        <v/>
      </c>
    </row>
    <row r="97">
      <c r="A97" s="10" t="n">
        <v>45474</v>
      </c>
      <c r="B97" s="11" t="n">
        <v>319.277</v>
      </c>
      <c r="C97" s="11" t="n">
        <v>287.9</v>
      </c>
      <c r="D97" s="11" t="n">
        <v>421.676</v>
      </c>
      <c r="E97" s="11" t="n">
        <v>127.471</v>
      </c>
      <c r="F97" s="11" t="n">
        <v>0</v>
      </c>
      <c r="G97" s="11" t="n">
        <v>689.255</v>
      </c>
      <c r="H97" s="11" t="n">
        <v>822.683</v>
      </c>
      <c r="I97" s="11" t="n">
        <v>205.348</v>
      </c>
      <c r="J97" s="11" t="n">
        <v>141.383</v>
      </c>
      <c r="K97" s="11" t="n">
        <v>89.977</v>
      </c>
      <c r="L97" s="11" t="n">
        <v>314.326</v>
      </c>
      <c r="M97" s="11" t="n">
        <v>247.356</v>
      </c>
      <c r="N97" s="11" t="n">
        <v>51.698</v>
      </c>
      <c r="O97" s="18">
        <f>IFERROR(B97+D97+E97-F97,"")</f>
        <v/>
      </c>
      <c r="P97" s="15">
        <f>IFERROR(B97/(B97+D97+E97),"")</f>
        <v/>
      </c>
      <c r="Q97" s="15">
        <f>IFERROR((D97+E97)/G97,"")</f>
        <v/>
      </c>
    </row>
    <row r="98">
      <c r="A98" s="8" t="n">
        <v>45505</v>
      </c>
      <c r="B98" s="9" t="n">
        <v>330.834</v>
      </c>
      <c r="C98" s="9" t="n">
        <v>299.572</v>
      </c>
      <c r="D98" s="9" t="n">
        <v>439</v>
      </c>
      <c r="E98" s="9" t="n">
        <v>126.136</v>
      </c>
      <c r="F98" s="9" t="n">
        <v>0</v>
      </c>
      <c r="G98" s="9" t="n">
        <v>688.229</v>
      </c>
      <c r="H98" s="9" t="n">
        <v>831.3680000000001</v>
      </c>
      <c r="I98" s="9" t="n">
        <v>188.05</v>
      </c>
      <c r="J98" s="9" t="n">
        <v>148.21</v>
      </c>
      <c r="K98" s="9" t="n">
        <v>74.039</v>
      </c>
      <c r="L98" s="9" t="n">
        <v>314.282</v>
      </c>
      <c r="M98" s="9" t="n">
        <v>245.139</v>
      </c>
      <c r="N98" s="9" t="n">
        <v>81.605</v>
      </c>
      <c r="O98" s="18">
        <f>IFERROR(B98+D98+E98-F98,"")</f>
        <v/>
      </c>
      <c r="P98" s="15">
        <f>IFERROR(B98/(B98+D98+E98),"")</f>
        <v/>
      </c>
      <c r="Q98" s="15">
        <f>IFERROR((D98+E98)/G98,"")</f>
        <v/>
      </c>
    </row>
    <row r="99">
      <c r="A99" s="10" t="n">
        <v>45536</v>
      </c>
      <c r="B99" s="11" t="n">
        <v>320.18</v>
      </c>
      <c r="C99" s="11" t="n">
        <v>284.484</v>
      </c>
      <c r="D99" s="11" t="n">
        <v>389.871</v>
      </c>
      <c r="E99" s="11" t="n">
        <v>129.624</v>
      </c>
      <c r="F99" s="11" t="n">
        <v>8.340999999999999</v>
      </c>
      <c r="G99" s="11" t="n">
        <v>659.144</v>
      </c>
      <c r="H99" s="11" t="n">
        <v>821.14</v>
      </c>
      <c r="I99" s="11" t="n">
        <v>164.209</v>
      </c>
      <c r="J99" s="11" t="n">
        <v>152.975</v>
      </c>
      <c r="K99" s="11" t="n">
        <v>81.27500000000001</v>
      </c>
      <c r="L99" s="11" t="n">
        <v>284.995</v>
      </c>
      <c r="M99" s="11" t="n">
        <v>229.344</v>
      </c>
      <c r="N99" s="11" t="n">
        <v>42.566</v>
      </c>
      <c r="O99" s="18">
        <f>IFERROR(B99+D99+E99-F99,"")</f>
        <v/>
      </c>
      <c r="P99" s="15">
        <f>IFERROR(B99/(B99+D99+E99),"")</f>
        <v/>
      </c>
      <c r="Q99" s="15">
        <f>IFERROR((D99+E99)/G99,"")</f>
        <v/>
      </c>
    </row>
    <row r="100">
      <c r="A100" s="8" t="n">
        <v>45566</v>
      </c>
      <c r="B100" s="9" t="n">
        <v>283.739</v>
      </c>
      <c r="C100" s="9" t="n">
        <v>256.26</v>
      </c>
      <c r="D100" s="9" t="n">
        <v>381.389</v>
      </c>
      <c r="E100" s="9" t="n">
        <v>103.933</v>
      </c>
      <c r="F100" s="9" t="n">
        <v>0</v>
      </c>
      <c r="G100" s="9" t="n">
        <v>659.2670000000001</v>
      </c>
      <c r="H100" s="9" t="n">
        <v>815.068</v>
      </c>
      <c r="I100" s="9" t="n">
        <v>153.362</v>
      </c>
      <c r="J100" s="9" t="n">
        <v>109.326</v>
      </c>
      <c r="K100" s="9" t="n">
        <v>74.654</v>
      </c>
      <c r="L100" s="9" t="n">
        <v>275.96</v>
      </c>
      <c r="M100" s="9" t="n">
        <v>245.486</v>
      </c>
      <c r="N100" s="9" t="n">
        <v>5.861</v>
      </c>
      <c r="O100" s="18">
        <f>IFERROR(B100+D100+E100-F100,"")</f>
        <v/>
      </c>
      <c r="P100" s="15">
        <f>IFERROR(B100/(B100+D100+E100),"")</f>
        <v/>
      </c>
      <c r="Q100" s="15">
        <f>IFERROR((D100+E100)/G100,"")</f>
        <v/>
      </c>
    </row>
    <row r="101">
      <c r="A101" s="10" t="n">
        <v>45597</v>
      </c>
      <c r="B101" s="11" t="n">
        <v>266.102</v>
      </c>
      <c r="C101" s="11" t="n">
        <v>235.74</v>
      </c>
      <c r="D101" s="11" t="n">
        <v>400.162</v>
      </c>
      <c r="E101" s="11" t="n">
        <v>127.92</v>
      </c>
      <c r="F101" s="11" t="n">
        <v>0</v>
      </c>
      <c r="G101" s="11" t="n">
        <v>668.819</v>
      </c>
      <c r="H101" s="11" t="n">
        <v>832.41</v>
      </c>
      <c r="I101" s="11" t="n">
        <v>162.812</v>
      </c>
      <c r="J101" s="11" t="n">
        <v>128.777</v>
      </c>
      <c r="K101" s="11" t="n">
        <v>64.58499999999999</v>
      </c>
      <c r="L101" s="11" t="n">
        <v>264.361</v>
      </c>
      <c r="M101" s="11" t="n">
        <v>247.805</v>
      </c>
      <c r="N101" s="11" t="n">
        <v>-2.555</v>
      </c>
      <c r="O101" s="18">
        <f>IFERROR(B101+D101+E101-F101,"")</f>
        <v/>
      </c>
      <c r="P101" s="15">
        <f>IFERROR(B101/(B101+D101+E101),"")</f>
        <v/>
      </c>
      <c r="Q101" s="15">
        <f>IFERROR((D101+E101)/G101,"")</f>
        <v/>
      </c>
    </row>
    <row r="102">
      <c r="A102" s="8" t="n">
        <v>45627</v>
      </c>
      <c r="B102" s="9" t="n">
        <v>333.981</v>
      </c>
      <c r="C102" s="9" t="n">
        <v>307.245</v>
      </c>
      <c r="D102" s="9" t="n">
        <v>438.309</v>
      </c>
      <c r="E102" s="9" t="n">
        <v>132.222</v>
      </c>
      <c r="F102" s="9" t="n">
        <v>0</v>
      </c>
      <c r="G102" s="9" t="n">
        <v>668.179</v>
      </c>
      <c r="H102" s="9" t="n">
        <v>828.322</v>
      </c>
      <c r="I102" s="9" t="n">
        <v>200.818</v>
      </c>
      <c r="J102" s="9" t="n">
        <v>93.642</v>
      </c>
      <c r="K102" s="9" t="n">
        <v>74.59699999999999</v>
      </c>
      <c r="L102" s="9" t="n">
        <v>236.337</v>
      </c>
      <c r="M102" s="9" t="n">
        <v>223.551</v>
      </c>
      <c r="N102" s="9" t="n">
        <v>104.111</v>
      </c>
      <c r="O102" s="18">
        <f>IFERROR(B102+D102+E102-F102,"")</f>
        <v/>
      </c>
      <c r="P102" s="15">
        <f>IFERROR(B102/(B102+D102+E102),"")</f>
        <v/>
      </c>
      <c r="Q102" s="15">
        <f>IFERROR((D102+E102)/G102,"")</f>
        <v/>
      </c>
    </row>
    <row r="103">
      <c r="A103" s="10" t="n">
        <v>45658</v>
      </c>
      <c r="B103" s="11" t="n">
        <v>344.833</v>
      </c>
      <c r="C103" s="11" t="n">
        <v>319.603</v>
      </c>
      <c r="D103" s="11" t="n">
        <v>349.067</v>
      </c>
      <c r="E103" s="11" t="n">
        <v>110.529</v>
      </c>
      <c r="F103" s="11" t="n">
        <v>0</v>
      </c>
      <c r="G103" s="11" t="n">
        <v>610.722</v>
      </c>
      <c r="H103" s="11" t="n">
        <v>782.05</v>
      </c>
      <c r="I103" s="11" t="n">
        <v>147.357</v>
      </c>
      <c r="J103" s="11" t="n">
        <v>66.577</v>
      </c>
      <c r="K103" s="11" t="n">
        <v>66.80500000000001</v>
      </c>
      <c r="L103" s="11" t="n">
        <v>228.567</v>
      </c>
      <c r="M103" s="11" t="n">
        <v>234.892</v>
      </c>
      <c r="N103" s="11" t="n">
        <v>83.178</v>
      </c>
      <c r="O103" s="18">
        <f>IFERROR(B103+D103+E103-F103,"")</f>
        <v/>
      </c>
      <c r="P103" s="15">
        <f>IFERROR(B103/(B103+D103+E103),"")</f>
        <v/>
      </c>
      <c r="Q103" s="15">
        <f>IFERROR((D103+E103)/G103,"")</f>
        <v/>
      </c>
    </row>
    <row r="104">
      <c r="A104" s="8" t="n">
        <v>45689</v>
      </c>
      <c r="B104" s="9" t="n">
        <v>354.505</v>
      </c>
      <c r="C104" s="9" t="n">
        <v>328.292</v>
      </c>
      <c r="D104" s="9" t="n">
        <v>323.934</v>
      </c>
      <c r="E104" s="9" t="n">
        <v>112.746</v>
      </c>
      <c r="F104" s="9" t="n">
        <v>0.122</v>
      </c>
      <c r="G104" s="9" t="n">
        <v>632.341</v>
      </c>
      <c r="H104" s="9" t="n">
        <v>813.232</v>
      </c>
      <c r="I104" s="9" t="n">
        <v>166.009</v>
      </c>
      <c r="J104" s="9" t="n">
        <v>93.116</v>
      </c>
      <c r="K104" s="9" t="n">
        <v>71.10599999999999</v>
      </c>
      <c r="L104" s="9" t="n">
        <v>255.234</v>
      </c>
      <c r="M104" s="9" t="n">
        <v>244.105</v>
      </c>
      <c r="N104" s="9" t="n">
        <v>45.976</v>
      </c>
      <c r="O104" s="18">
        <f>IFERROR(B104+D104+E104-F104,"")</f>
        <v/>
      </c>
      <c r="P104" s="15">
        <f>IFERROR(B104/(B104+D104+E104),"")</f>
        <v/>
      </c>
      <c r="Q104" s="15">
        <f>IFERROR((D104+E104)/G104,"")</f>
        <v/>
      </c>
    </row>
    <row r="105">
      <c r="A105" s="10" t="n">
        <v>45717</v>
      </c>
      <c r="B105" s="11" t="n">
        <v>336.859</v>
      </c>
      <c r="C105" s="11" t="n">
        <v>307.404</v>
      </c>
      <c r="D105" s="11" t="n">
        <v>355.756</v>
      </c>
      <c r="E105" s="11" t="n">
        <v>113.67</v>
      </c>
      <c r="F105" s="11" t="n">
        <v>0</v>
      </c>
      <c r="G105" s="11" t="n">
        <v>651.131</v>
      </c>
      <c r="H105" s="11" t="n">
        <v>827.92</v>
      </c>
      <c r="I105" s="11" t="n">
        <v>190.952</v>
      </c>
      <c r="J105" s="11" t="n">
        <v>91.63500000000001</v>
      </c>
      <c r="K105" s="11" t="n">
        <v>78.741</v>
      </c>
      <c r="L105" s="11" t="n">
        <v>251.999</v>
      </c>
      <c r="M105" s="11" t="n">
        <v>246.367</v>
      </c>
      <c r="N105" s="11" t="n">
        <v>41.485</v>
      </c>
      <c r="O105" s="18">
        <f>IFERROR(B105+D105+E105-F105,"")</f>
        <v/>
      </c>
      <c r="P105" s="15">
        <f>IFERROR(B105/(B105+D105+E105),"")</f>
        <v/>
      </c>
      <c r="Q105" s="15">
        <f>IFERROR((D105+E105)/G105,"")</f>
        <v/>
      </c>
    </row>
    <row r="106">
      <c r="A106" s="8" t="n">
        <v>45748</v>
      </c>
      <c r="B106" s="9" t="n">
        <v>379.883</v>
      </c>
      <c r="C106" s="9" t="n">
        <v>344.346</v>
      </c>
      <c r="D106" s="9" t="n">
        <v>350.891</v>
      </c>
      <c r="E106" s="9" t="n">
        <v>125.226</v>
      </c>
      <c r="F106" s="9" t="n">
        <v>0</v>
      </c>
      <c r="G106" s="9" t="n">
        <v>702.547</v>
      </c>
      <c r="H106" s="9" t="n">
        <v>778.657</v>
      </c>
      <c r="I106" s="9" t="n">
        <v>197.184</v>
      </c>
      <c r="J106" s="9" t="n">
        <v>89.66</v>
      </c>
      <c r="K106" s="9" t="n">
        <v>83.342</v>
      </c>
      <c r="L106" s="9" t="n">
        <v>303.219</v>
      </c>
      <c r="M106" s="9" t="n">
        <v>236.033</v>
      </c>
      <c r="N106" s="9" t="n">
        <v>28.227</v>
      </c>
      <c r="O106" s="18">
        <f>IFERROR(B106+D106+E106-F106,"")</f>
        <v/>
      </c>
      <c r="P106" s="15">
        <f>IFERROR(B106/(B106+D106+E106),"")</f>
        <v/>
      </c>
      <c r="Q106" s="15">
        <f>IFERROR((D106+E106)/G106,"")</f>
        <v/>
      </c>
    </row>
    <row r="107">
      <c r="A107" s="10" t="n">
        <v>45778</v>
      </c>
      <c r="B107" s="11" t="n">
        <v>363.957</v>
      </c>
      <c r="C107" s="11" t="n">
        <v>327.588</v>
      </c>
      <c r="D107" s="11" t="n">
        <v>379.685</v>
      </c>
      <c r="E107" s="11" t="n">
        <v>136.195</v>
      </c>
      <c r="F107" s="11" t="n">
        <v>0</v>
      </c>
      <c r="G107" s="11" t="n">
        <v>694.655</v>
      </c>
      <c r="H107" s="11" t="n">
        <v>842.84</v>
      </c>
      <c r="I107" s="11" t="n">
        <v>215.834</v>
      </c>
      <c r="J107" s="11" t="n">
        <v>117.091</v>
      </c>
      <c r="K107" s="11" t="n">
        <v>98.681</v>
      </c>
      <c r="L107" s="11" t="n">
        <v>295.606</v>
      </c>
      <c r="M107" s="11" t="n">
        <v>252.823</v>
      </c>
      <c r="N107" s="11" t="n">
        <v>48.987</v>
      </c>
      <c r="O107" s="18">
        <f>IFERROR(B107+D107+E107-F107,"")</f>
        <v/>
      </c>
      <c r="P107" s="15">
        <f>IFERROR(B107/(B107+D107+E107),"")</f>
        <v/>
      </c>
      <c r="Q107" s="15">
        <f>IFERROR((D107+E107)/G107,"")</f>
        <v/>
      </c>
    </row>
    <row r="108">
      <c r="A108" s="8" t="n">
        <v>45809</v>
      </c>
      <c r="B108" s="9" t="n">
        <v>414.178</v>
      </c>
      <c r="C108" s="9" t="n">
        <v>383.235</v>
      </c>
      <c r="D108" s="9" t="n">
        <v>265.317</v>
      </c>
      <c r="E108" s="9" t="n">
        <v>183.47</v>
      </c>
      <c r="F108" s="9" t="n">
        <v>0</v>
      </c>
      <c r="G108" s="9" t="n">
        <v>661.272</v>
      </c>
      <c r="H108" s="9" t="n">
        <v>824.841</v>
      </c>
      <c r="I108" s="9" t="n">
        <v>228.041</v>
      </c>
      <c r="J108" s="9" t="n">
        <v>95.501</v>
      </c>
      <c r="K108" s="9" t="n">
        <v>123.786</v>
      </c>
      <c r="L108" s="9" t="n">
        <v>270.357</v>
      </c>
      <c r="M108" s="9" t="n">
        <v>244.059</v>
      </c>
      <c r="N108" s="9" t="n">
        <v>18.223</v>
      </c>
      <c r="O108" s="18">
        <f>IFERROR(B108+D108+E108-F108,"")</f>
        <v/>
      </c>
      <c r="P108" s="15">
        <f>IFERROR(B108/(B108+D108+E108),"")</f>
        <v/>
      </c>
      <c r="Q108" s="15">
        <f>IFERROR((D108+E108)/G108,"")</f>
        <v/>
      </c>
    </row>
    <row r="109">
      <c r="A109" s="10" t="n">
        <v>45839</v>
      </c>
      <c r="B109" s="11" t="n">
        <v>391.236</v>
      </c>
      <c r="C109" s="11" t="n">
        <v>361.763</v>
      </c>
      <c r="D109" s="11" t="n">
        <v>347.781</v>
      </c>
      <c r="E109" s="11" t="n">
        <v>156.881</v>
      </c>
      <c r="F109" s="11" t="n">
        <v>0</v>
      </c>
      <c r="G109" s="11" t="n">
        <v>662.532</v>
      </c>
      <c r="H109" s="11" t="n">
        <v>827.7380000000001</v>
      </c>
      <c r="I109" s="11" t="n">
        <v>244.281</v>
      </c>
      <c r="J109" s="11" t="n">
        <v>77.28</v>
      </c>
      <c r="K109" s="11" t="n">
        <v>91.068</v>
      </c>
      <c r="L109" s="11" t="n">
        <v>275.047</v>
      </c>
      <c r="M109" s="11" t="n">
        <v>246.488</v>
      </c>
      <c r="N109" s="11" t="n">
        <v>76.485</v>
      </c>
      <c r="O109" s="18">
        <f>IFERROR(B109+D109+E109-F109,"")</f>
        <v/>
      </c>
      <c r="P109" s="15">
        <f>IFERROR(B109/(B109+D109+E109),"")</f>
        <v/>
      </c>
      <c r="Q109" s="15">
        <f>IFERROR((D109+E109)/G109,"")</f>
        <v/>
      </c>
    </row>
    <row r="110">
      <c r="A110" s="8" t="n">
        <v>45870</v>
      </c>
      <c r="B110" s="9" t="n">
        <v>394.692</v>
      </c>
      <c r="C110" s="9" t="n">
        <v>358.941</v>
      </c>
      <c r="D110" s="9" t="n">
        <v>281.748</v>
      </c>
      <c r="E110" s="9" t="n">
        <v>159.58</v>
      </c>
      <c r="F110" s="9" t="n">
        <v>0</v>
      </c>
      <c r="G110" s="9" t="n">
        <v>656.939</v>
      </c>
      <c r="H110" s="9" t="n">
        <v>839.274</v>
      </c>
      <c r="I110" s="9" t="n">
        <v>211.884</v>
      </c>
      <c r="J110" s="9" t="n">
        <v>57.636</v>
      </c>
      <c r="K110" s="9" t="n">
        <v>126.487</v>
      </c>
      <c r="L110" s="9" t="n">
        <v>282.824</v>
      </c>
      <c r="M110" s="9" t="n">
        <v>240.992</v>
      </c>
      <c r="N110" s="9" t="n">
        <v>19.501</v>
      </c>
      <c r="O110" s="18">
        <f>IFERROR(B110+D110+E110-F110,"")</f>
        <v/>
      </c>
      <c r="P110" s="15">
        <f>IFERROR(B110/(B110+D110+E110),"")</f>
        <v/>
      </c>
      <c r="Q110" s="15">
        <f>IFERROR((D110+E110)/G110,"")</f>
        <v/>
      </c>
    </row>
    <row r="111">
      <c r="A111" s="10" t="n">
        <v>45901</v>
      </c>
      <c r="B111" s="11" t="n">
        <v>403.792</v>
      </c>
      <c r="C111" s="11" t="n">
        <v>362.552</v>
      </c>
      <c r="D111" s="11" t="n">
        <v>387.892</v>
      </c>
      <c r="E111" s="11" t="n">
        <v>178.137</v>
      </c>
      <c r="F111" s="11" t="n">
        <v>0</v>
      </c>
      <c r="G111" s="11" t="n">
        <v>696.229</v>
      </c>
      <c r="H111" s="11" t="n">
        <v>839.357</v>
      </c>
      <c r="I111" s="11" t="n">
        <v>248.958</v>
      </c>
      <c r="J111" s="11" t="n">
        <v>73.349</v>
      </c>
      <c r="K111" s="11" t="n">
        <v>116.742</v>
      </c>
      <c r="L111" s="11" t="n">
        <v>288.437</v>
      </c>
      <c r="M111" s="11" t="n">
        <v>240.426</v>
      </c>
      <c r="N111" s="11" t="n">
        <v>95.455</v>
      </c>
      <c r="O111" s="18">
        <f>IFERROR(B111+D111+E111-F111,"")</f>
        <v/>
      </c>
      <c r="P111" s="15">
        <f>IFERROR(B111/(B111+D111+E111),"")</f>
        <v/>
      </c>
      <c r="Q111" s="15">
        <f>IFERROR((D111+E111)/G111,"")</f>
        <v/>
      </c>
    </row>
    <row r="112">
      <c r="A112" s="8" t="n">
        <v>45931</v>
      </c>
      <c r="B112" s="9" t="n">
        <v>357.704</v>
      </c>
      <c r="C112" s="9" t="n">
        <v>324.992</v>
      </c>
      <c r="D112" s="9" t="n">
        <v>316.58</v>
      </c>
      <c r="E112" s="9" t="n">
        <v>181.714</v>
      </c>
      <c r="F112" s="9" t="n">
        <v>0</v>
      </c>
      <c r="G112" s="9" t="n">
        <v>690.578</v>
      </c>
      <c r="H112" s="9" t="n">
        <v>838.361</v>
      </c>
      <c r="I112" s="9" t="n">
        <v>255.626</v>
      </c>
      <c r="J112" s="9" t="n">
        <v>77.12</v>
      </c>
      <c r="K112" s="9" t="n">
        <v>120.809</v>
      </c>
      <c r="L112" s="9" t="n">
        <v>290.699</v>
      </c>
      <c r="M112" s="9" t="n">
        <v>255.318</v>
      </c>
      <c r="N112" s="9" t="n">
        <v>-16.294</v>
      </c>
      <c r="O112" s="18">
        <f>IFERROR(B112+D112+E112-F112,"")</f>
        <v/>
      </c>
      <c r="P112" s="15">
        <f>IFERROR(B112/(B112+D112+E112),"")</f>
        <v/>
      </c>
      <c r="Q112" s="15">
        <f>IFERROR((D112+E112)/G112,"")</f>
        <v/>
      </c>
    </row>
    <row r="113">
      <c r="A113" s="10" t="n">
        <v>45962</v>
      </c>
      <c r="B113" s="11" t="n">
        <v>456.086</v>
      </c>
      <c r="C113" s="11" t="n">
        <v>413.403</v>
      </c>
      <c r="D113" s="11" t="n">
        <v>385.219</v>
      </c>
      <c r="E113" s="11" t="n">
        <v>170.678</v>
      </c>
      <c r="F113" s="11" t="n">
        <v>7.521</v>
      </c>
      <c r="G113" s="11" t="n">
        <v>692.362</v>
      </c>
      <c r="H113" s="11" t="n">
        <v>838.165</v>
      </c>
      <c r="I113" s="11" t="n">
        <v>310.5</v>
      </c>
      <c r="J113" s="11" t="n">
        <v>65.125</v>
      </c>
      <c r="K113" s="11" t="n">
        <v>122.34</v>
      </c>
      <c r="L113" s="11" t="n">
        <v>286.656</v>
      </c>
      <c r="M113" s="11" t="n">
        <v>256.796</v>
      </c>
      <c r="N113" s="11" t="n">
        <v>141.421</v>
      </c>
      <c r="O113" s="18">
        <f>IFERROR(B113+D113+E113-F113,"")</f>
        <v/>
      </c>
      <c r="P113" s="15">
        <f>IFERROR(B113/(B113+D113+E113),"")</f>
        <v/>
      </c>
      <c r="Q113" s="15">
        <f>IFERROR((D113+E113)/G113,"")</f>
        <v/>
      </c>
    </row>
    <row r="114">
      <c r="A114" s="8" t="n">
        <v>45992</v>
      </c>
      <c r="B114" s="9" t="n">
        <v>485.205</v>
      </c>
      <c r="C114" s="9" t="n">
        <v>443.574</v>
      </c>
      <c r="D114" s="9" t="n">
        <v>303.236</v>
      </c>
      <c r="E114" s="9" t="n">
        <v>188.155</v>
      </c>
      <c r="F114" s="9" t="n">
        <v>0</v>
      </c>
      <c r="G114" s="9" t="n">
        <v>734.179</v>
      </c>
      <c r="H114" s="9" t="n">
        <v>854.853</v>
      </c>
      <c r="I114" s="9" t="n">
        <v>313.396</v>
      </c>
      <c r="J114" s="9" t="n">
        <v>71.16</v>
      </c>
      <c r="K114" s="9" t="n">
        <v>114.596</v>
      </c>
      <c r="L114" s="9" t="n">
        <v>276.778</v>
      </c>
      <c r="M114" s="9" t="n">
        <v>243.19</v>
      </c>
      <c r="N114" s="9" t="n">
        <v>54.262</v>
      </c>
      <c r="O114" s="18">
        <f>IFERROR(B114+D114+E114-F114,"")</f>
        <v/>
      </c>
      <c r="P114" s="15">
        <f>IFERROR(B114/(B114+D114+E114),"")</f>
        <v/>
      </c>
      <c r="Q114" s="15">
        <f>IFERROR((D114+E114)/G114,"")</f>
        <v/>
      </c>
    </row>
    <row r="115">
      <c r="A115" s="10" t="n">
        <v>46023</v>
      </c>
      <c r="B115" s="11" t="n">
        <v>433.148</v>
      </c>
      <c r="C115" s="11" t="n">
        <v>396.04</v>
      </c>
      <c r="D115" s="11" t="n">
        <v>230.067</v>
      </c>
      <c r="E115" s="11" t="n">
        <v>174.245</v>
      </c>
      <c r="F115" s="11" t="n"/>
      <c r="G115" s="11" t="n">
        <v>648.165</v>
      </c>
      <c r="H115" s="11" t="n">
        <v>801.717</v>
      </c>
      <c r="I115" s="11" t="n">
        <v>276.94</v>
      </c>
      <c r="J115" s="11" t="n">
        <v>47.205</v>
      </c>
      <c r="K115" s="11" t="n">
        <v>120.775</v>
      </c>
      <c r="L115" s="11" t="n">
        <v>254.391</v>
      </c>
      <c r="M115" s="11" t="n">
        <v>243.789</v>
      </c>
      <c r="N115" s="11" t="n">
        <v>15.05</v>
      </c>
      <c r="O115" s="18">
        <f>IFERROR(B115+D115+E115-F115,"")</f>
        <v/>
      </c>
      <c r="P115" s="15">
        <f>IFERROR(B115/(B115+D115+E115),"")</f>
        <v/>
      </c>
      <c r="Q115" s="15">
        <f>IFERROR((D115+E115)/G115,"")</f>
        <v/>
      </c>
    </row>
    <row r="116">
      <c r="A116" s="8" t="n">
        <v>46054</v>
      </c>
      <c r="B116" s="9" t="n">
        <v>452.274</v>
      </c>
      <c r="C116" s="9" t="n">
        <v>416.001</v>
      </c>
      <c r="D116" s="9" t="n">
        <v>282.723</v>
      </c>
      <c r="E116" s="9" t="n">
        <v>202.538</v>
      </c>
      <c r="F116" s="9" t="n"/>
      <c r="G116" s="9" t="n">
        <v>652.6079999999999</v>
      </c>
      <c r="H116" s="9" t="n">
        <v>779.337</v>
      </c>
      <c r="I116" s="9" t="n">
        <v>298.732</v>
      </c>
      <c r="J116" s="9" t="n">
        <v>34.511</v>
      </c>
      <c r="K116" s="9" t="n">
        <v>132.102</v>
      </c>
      <c r="L116" s="9" t="n">
        <v>259.571</v>
      </c>
      <c r="M116" s="9" t="n">
        <v>240.046</v>
      </c>
      <c r="N116" s="9" t="n">
        <v>82.389</v>
      </c>
      <c r="O116" s="18">
        <f>IFERROR(B116+D116+E116-F116,"")</f>
        <v/>
      </c>
      <c r="P116" s="15">
        <f>IFERROR(B116/(B116+D116+E116),"")</f>
        <v/>
      </c>
      <c r="Q116" s="15">
        <f>IFERROR((D116+E116)/G116,"")</f>
        <v/>
      </c>
    </row>
    <row r="117">
      <c r="A117" s="10" t="n">
        <v>46082</v>
      </c>
      <c r="B117" s="11" t="n">
        <v>439.858</v>
      </c>
      <c r="C117" s="11" t="n">
        <v>404.107</v>
      </c>
      <c r="D117" s="11" t="n">
        <v>254.752</v>
      </c>
      <c r="E117" s="11" t="n">
        <v>190.32</v>
      </c>
      <c r="F117" s="11" t="n"/>
      <c r="G117" s="11" t="n">
        <v>708.861</v>
      </c>
      <c r="H117" s="11" t="n">
        <v>842.1660000000001</v>
      </c>
      <c r="I117" s="11" t="n">
        <v>282.672</v>
      </c>
      <c r="J117" s="11" t="n">
        <v>52.596</v>
      </c>
      <c r="K117" s="11" t="n">
        <v>93.77500000000001</v>
      </c>
      <c r="L117" s="11" t="n">
        <v>322.427</v>
      </c>
      <c r="M117" s="11" t="n">
        <v>264.973</v>
      </c>
      <c r="N117" s="11" t="n">
        <v>-14.251</v>
      </c>
      <c r="O117" s="18">
        <f>IFERROR(B117+D117+E117-F117,"")</f>
        <v/>
      </c>
      <c r="P117" s="15">
        <f>IFERROR(B117/(B117+D117+E117),"")</f>
        <v/>
      </c>
      <c r="Q117" s="15">
        <f>IFERROR((D117+E117)/G117,"")</f>
        <v/>
      </c>
    </row>
    <row r="118">
      <c r="A118" s="8" t="n">
        <v>46113</v>
      </c>
      <c r="B118" s="9" t="n">
        <v>424.002</v>
      </c>
      <c r="C118" s="9" t="n">
        <v>388.131</v>
      </c>
      <c r="D118" s="9" t="n">
        <v>306.414</v>
      </c>
      <c r="E118" s="9" t="n">
        <v>97.55500000000001</v>
      </c>
      <c r="F118" s="9" t="n"/>
      <c r="G118" s="9" t="n">
        <v>738.9690000000001</v>
      </c>
      <c r="H118" s="9" t="n">
        <v>840.258</v>
      </c>
      <c r="I118" s="9" t="n">
        <v>260.882</v>
      </c>
      <c r="J118" s="9" t="n">
        <v>63.257</v>
      </c>
      <c r="K118" s="9" t="n">
        <v>85.81100000000001</v>
      </c>
      <c r="L118" s="9" t="n">
        <v>324.555</v>
      </c>
      <c r="M118" s="9" t="n">
        <v>263.706</v>
      </c>
      <c r="N118" s="9" t="n">
        <v>-8.552</v>
      </c>
      <c r="O118" s="18">
        <f>IFERROR(B118+D118+E118-F118,"")</f>
        <v/>
      </c>
      <c r="P118" s="15">
        <f>IFERROR(B118/(B118+D118+E118),"")</f>
        <v/>
      </c>
      <c r="Q118" s="15">
        <f>IFERROR((D118+E118)/G118,"")</f>
        <v/>
      </c>
    </row>
    <row r="119">
      <c r="A119" s="10" t="n">
        <v>46143</v>
      </c>
      <c r="B119" s="11" t="n">
        <v>369.046</v>
      </c>
      <c r="C119" s="11" t="n">
        <v>321.549</v>
      </c>
      <c r="D119" s="11" t="n">
        <v>418.056</v>
      </c>
      <c r="E119" s="11" t="n">
        <v>79.23699999999999</v>
      </c>
      <c r="F119" s="11" t="n">
        <v>6.346</v>
      </c>
      <c r="G119" s="11" t="n">
        <v>768.5599999999999</v>
      </c>
      <c r="H119" s="11" t="n">
        <v>881.678</v>
      </c>
      <c r="I119" s="11" t="n">
        <v>252.359</v>
      </c>
      <c r="J119" s="11" t="n">
        <v>125.684</v>
      </c>
      <c r="K119" s="11" t="n">
        <v>72.343</v>
      </c>
      <c r="L119" s="11" t="n">
        <v>358.835</v>
      </c>
      <c r="M119" s="11" t="n">
        <v>274.076</v>
      </c>
      <c r="N119" s="11" t="n">
        <v>12.195</v>
      </c>
      <c r="O119" s="18">
        <f>IFERROR(B119+D119+E119-F119,"")</f>
        <v/>
      </c>
      <c r="P119" s="15">
        <f>IFERROR(B119/(B119+D119+E119),"")</f>
        <v/>
      </c>
      <c r="Q119" s="15">
        <f>IFERROR((D119+E119)/G119,"")</f>
        <v/>
      </c>
    </row>
    <row r="120">
      <c r="A120" s="8" t="n">
        <v>46174</v>
      </c>
      <c r="B120" s="9" t="n">
        <v>408.993</v>
      </c>
      <c r="C120" s="9" t="n">
        <v>346.442</v>
      </c>
      <c r="D120" s="9" t="n">
        <v>376.56</v>
      </c>
      <c r="E120" s="9" t="n"/>
      <c r="F120" s="9" t="n"/>
      <c r="G120" s="9" t="n">
        <v>785.015</v>
      </c>
      <c r="H120" s="9" t="n">
        <v>855.524</v>
      </c>
      <c r="I120" s="9" t="n">
        <v>251.596</v>
      </c>
      <c r="J120" s="9" t="n">
        <v>120.551</v>
      </c>
      <c r="K120" s="9" t="n"/>
      <c r="L120" s="9" t="n">
        <v>351.853</v>
      </c>
      <c r="M120" s="9" t="n">
        <v>271.639</v>
      </c>
      <c r="N120" s="9" t="n">
        <v>0.538</v>
      </c>
      <c r="O120" s="18">
        <f>IFERROR(B120+D120+E120-F120,"")</f>
        <v/>
      </c>
      <c r="P120" s="15">
        <f>IFERROR(B120/(B120+D120+E120),"")</f>
        <v/>
      </c>
      <c r="Q120" s="15">
        <f>IFERROR((D120+E120)/G120,"")</f>
        <v/>
      </c>
    </row>
    <row r="121">
      <c r="A121" s="10" t="n">
        <v>46204</v>
      </c>
      <c r="B121" s="11" t="n"/>
      <c r="C121" s="11" t="n">
        <v>0</v>
      </c>
      <c r="D121" s="11" t="n"/>
      <c r="E121" s="11" t="n"/>
      <c r="F121" s="11" t="n"/>
      <c r="G121" s="11" t="n"/>
      <c r="H121" s="11" t="n">
        <v>814.373</v>
      </c>
      <c r="I121" s="11" t="n"/>
      <c r="J121" s="11" t="n"/>
      <c r="K121" s="11" t="n"/>
      <c r="L121" s="11" t="n"/>
      <c r="M121" s="11" t="n">
        <v>256.488</v>
      </c>
      <c r="N121" s="11" t="n"/>
      <c r="O121" s="18">
        <f>IFERROR(B121+D121+E121-F121,"")</f>
        <v/>
      </c>
      <c r="P121" s="15">
        <f>IFERROR(B121/(B121+D121+E121),"")</f>
        <v/>
      </c>
      <c r="Q121" s="15">
        <f>IFERROR((D121+E121)/G121,"")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Etapas del mercado e índice con 2019 = 100</t>
        </is>
      </c>
    </row>
    <row r="2">
      <c r="A2" s="2" t="inlineStr">
        <is>
          <t>Gasolinas · miles de barriles diarios salvo donde se indique otra cosa</t>
        </is>
      </c>
    </row>
    <row r="6">
      <c r="A6" s="6" t="inlineStr">
        <is>
          <t>Etapa</t>
        </is>
      </c>
      <c r="B6" s="7" t="inlineStr">
        <is>
          <t>Bomba</t>
        </is>
      </c>
      <c r="C6" s="7" t="inlineStr">
        <is>
          <t>Ventas Pemex</t>
        </is>
      </c>
      <c r="D6" s="7" t="inlineStr">
        <is>
          <t>Producción</t>
        </is>
      </c>
      <c r="E6" s="7" t="inlineStr">
        <is>
          <t>Importación</t>
        </is>
      </c>
      <c r="F6" s="7" t="inlineStr">
        <is>
          <t>Autosuf %</t>
        </is>
      </c>
      <c r="G6" s="7" t="inlineStr">
        <is>
          <t>Sobrante</t>
        </is>
      </c>
      <c r="H6" s="7" t="inlineStr">
        <is>
          <t>Precio real</t>
        </is>
      </c>
      <c r="I6" s="7" t="inlineStr">
        <is>
          <t>% Premium</t>
        </is>
      </c>
    </row>
    <row r="7">
      <c r="A7" s="13" t="inlineStr">
        <is>
          <t>2017-2019 pre-pandemia</t>
        </is>
      </c>
      <c r="B7" s="11" t="n">
        <v>699.98</v>
      </c>
      <c r="C7" s="11" t="n">
        <v>760.73</v>
      </c>
      <c r="D7" s="11" t="n">
        <v>213.21</v>
      </c>
      <c r="E7" s="11" t="n">
        <v>600.3</v>
      </c>
      <c r="F7" s="11" t="n">
        <v>25.98</v>
      </c>
      <c r="G7" s="11" t="n">
        <v>-13.12</v>
      </c>
      <c r="H7" s="11" t="n">
        <v>25.87</v>
      </c>
      <c r="I7" s="11" t="n">
        <v>16.34</v>
      </c>
    </row>
    <row r="8">
      <c r="A8" s="16" t="inlineStr">
        <is>
          <t>2020 pandemia</t>
        </is>
      </c>
      <c r="B8" s="9" t="n">
        <v>640.7</v>
      </c>
      <c r="C8" s="9" t="n">
        <v>551.62</v>
      </c>
      <c r="D8" s="9" t="n">
        <v>199.23</v>
      </c>
      <c r="E8" s="9" t="n">
        <v>480.16</v>
      </c>
      <c r="F8" s="9" t="n">
        <v>29.32</v>
      </c>
      <c r="G8" s="9" t="n">
        <v>2.17</v>
      </c>
      <c r="H8" s="9" t="n">
        <v>23.84</v>
      </c>
      <c r="I8" s="9" t="n">
        <v>23.81</v>
      </c>
    </row>
    <row r="9">
      <c r="A9" s="13" t="inlineStr">
        <is>
          <t>2021-2022 recuperación</t>
        </is>
      </c>
      <c r="B9" s="11" t="n">
        <v>766.91</v>
      </c>
      <c r="C9" s="11" t="n">
        <v>622.8099999999999</v>
      </c>
      <c r="D9" s="11" t="n">
        <v>264.54</v>
      </c>
      <c r="E9" s="11" t="n">
        <v>527.47</v>
      </c>
      <c r="F9" s="11" t="n">
        <v>33.4</v>
      </c>
      <c r="G9" s="11" t="n">
        <v>15</v>
      </c>
      <c r="H9" s="11" t="n">
        <v>25.59</v>
      </c>
      <c r="I9" s="11" t="n">
        <v>19.53</v>
      </c>
    </row>
    <row r="10">
      <c r="A10" s="16" t="inlineStr">
        <is>
          <t>2023-2024 normalización</t>
        </is>
      </c>
      <c r="B10" s="9" t="n">
        <v>819.41</v>
      </c>
      <c r="C10" s="9" t="n">
        <v>660.71</v>
      </c>
      <c r="D10" s="9" t="n">
        <v>301.35</v>
      </c>
      <c r="E10" s="9" t="n">
        <v>538.75</v>
      </c>
      <c r="F10" s="9" t="n">
        <v>35.87</v>
      </c>
      <c r="G10" s="9" t="n">
        <v>44.9</v>
      </c>
      <c r="H10" s="9" t="n">
        <v>25.04</v>
      </c>
      <c r="I10" s="9" t="n">
        <v>19.92</v>
      </c>
    </row>
    <row r="11">
      <c r="A11" s="13" t="inlineStr">
        <is>
          <t>2025 quiebre</t>
        </is>
      </c>
      <c r="B11" s="11" t="n">
        <v>825.61</v>
      </c>
      <c r="C11" s="11" t="n">
        <v>673.79</v>
      </c>
      <c r="D11" s="11" t="n">
        <v>390.24</v>
      </c>
      <c r="E11" s="11" t="n">
        <v>488.67</v>
      </c>
      <c r="F11" s="11" t="n">
        <v>44.4</v>
      </c>
      <c r="G11" s="11" t="n">
        <v>53.08</v>
      </c>
      <c r="H11" s="11" t="n">
        <v>24.49</v>
      </c>
      <c r="I11" s="11" t="n">
        <v>23.78</v>
      </c>
    </row>
    <row r="12">
      <c r="A12" s="16" t="inlineStr">
        <is>
          <t>2026 en curso</t>
        </is>
      </c>
      <c r="B12" s="9" t="n">
        <v>830.72</v>
      </c>
      <c r="C12" s="9" t="n">
        <v>717.03</v>
      </c>
      <c r="D12" s="9" t="n">
        <v>421.22</v>
      </c>
      <c r="E12" s="9" t="n">
        <v>447.18</v>
      </c>
      <c r="F12" s="9" t="n">
        <v>48.37</v>
      </c>
      <c r="G12" s="9" t="n">
        <v>14.56</v>
      </c>
      <c r="H12" s="9" t="n">
        <v>23.66</v>
      </c>
      <c r="I12" s="9" t="n">
        <v>21.57</v>
      </c>
    </row>
    <row r="15">
      <c r="A15" s="17" t="inlineStr">
        <is>
          <t>Índice base 2019 = 100 (promedio enero-julio)</t>
        </is>
      </c>
    </row>
    <row r="16">
      <c r="A16" s="6" t="inlineStr">
        <is>
          <t>Año</t>
        </is>
      </c>
      <c r="B16" s="7" t="inlineStr">
        <is>
          <t>Demanda en bomba</t>
        </is>
      </c>
      <c r="C16" s="7" t="inlineStr">
        <is>
          <t>Ventas Pemex</t>
        </is>
      </c>
      <c r="D16" s="7" t="inlineStr">
        <is>
          <t>Producción</t>
        </is>
      </c>
      <c r="E16" s="7" t="inlineStr">
        <is>
          <t>Importación total</t>
        </is>
      </c>
      <c r="F16" s="7" t="inlineStr">
        <is>
          <t>Diésel bomba</t>
        </is>
      </c>
      <c r="G16" s="7" t="inlineStr">
        <is>
          <t>Precio real Regular</t>
        </is>
      </c>
    </row>
    <row r="17">
      <c r="A17" s="13" t="n">
        <v>2019</v>
      </c>
      <c r="B17" s="11" t="n">
        <v>100</v>
      </c>
      <c r="C17" s="11" t="n">
        <v>100</v>
      </c>
      <c r="D17" s="11" t="n">
        <v>100</v>
      </c>
      <c r="E17" s="11" t="n">
        <v>100</v>
      </c>
      <c r="F17" s="11" t="n">
        <v>100</v>
      </c>
      <c r="G17" s="11" t="n">
        <v>100</v>
      </c>
    </row>
    <row r="18">
      <c r="A18" s="16" t="n">
        <v>2020</v>
      </c>
      <c r="B18" s="9" t="n">
        <v>87.13</v>
      </c>
      <c r="C18" s="9" t="n">
        <v>78.34999999999999</v>
      </c>
      <c r="D18" s="9" t="n">
        <v>95.17</v>
      </c>
      <c r="E18" s="9" t="n">
        <v>79.64</v>
      </c>
      <c r="F18" s="9" t="n">
        <v>87.5</v>
      </c>
      <c r="G18" s="9" t="n">
        <v>88.95</v>
      </c>
    </row>
    <row r="19">
      <c r="A19" s="13" t="n">
        <v>2021</v>
      </c>
      <c r="B19" s="11" t="n">
        <v>99.34999999999999</v>
      </c>
      <c r="C19" s="11" t="n">
        <v>76.48999999999999</v>
      </c>
      <c r="D19" s="11" t="n">
        <v>110.46</v>
      </c>
      <c r="E19" s="11" t="n">
        <v>83.8</v>
      </c>
      <c r="F19" s="11" t="n">
        <v>92.47</v>
      </c>
      <c r="G19" s="11" t="n">
        <v>95.03</v>
      </c>
    </row>
    <row r="20">
      <c r="A20" s="16" t="n">
        <v>2022</v>
      </c>
      <c r="B20" s="9" t="n">
        <v>108.74</v>
      </c>
      <c r="C20" s="9" t="n">
        <v>91.98999999999999</v>
      </c>
      <c r="D20" s="9" t="n">
        <v>135.36</v>
      </c>
      <c r="E20" s="9" t="n">
        <v>89.61</v>
      </c>
      <c r="F20" s="9" t="n">
        <v>104.23</v>
      </c>
      <c r="G20" s="9" t="n">
        <v>94.52</v>
      </c>
    </row>
    <row r="21">
      <c r="A21" s="13" t="n">
        <v>2023</v>
      </c>
      <c r="B21" s="11" t="n">
        <v>112.48</v>
      </c>
      <c r="C21" s="11" t="n">
        <v>88.18000000000001</v>
      </c>
      <c r="D21" s="11" t="n">
        <v>141.77</v>
      </c>
      <c r="E21" s="11" t="n">
        <v>85.92</v>
      </c>
      <c r="F21" s="11" t="n">
        <v>106.99</v>
      </c>
      <c r="G21" s="11" t="n">
        <v>91.31</v>
      </c>
    </row>
    <row r="22">
      <c r="A22" s="16" t="n">
        <v>2024</v>
      </c>
      <c r="B22" s="9" t="n">
        <v>114.39</v>
      </c>
      <c r="C22" s="9" t="n">
        <v>91.48</v>
      </c>
      <c r="D22" s="9" t="n">
        <v>155.48</v>
      </c>
      <c r="E22" s="9" t="n">
        <v>84.47</v>
      </c>
      <c r="F22" s="9" t="n">
        <v>107.34</v>
      </c>
      <c r="G22" s="9" t="n">
        <v>92.39</v>
      </c>
    </row>
    <row r="23">
      <c r="A23" s="13" t="n">
        <v>2025</v>
      </c>
      <c r="B23" s="11" t="n">
        <v>112.51</v>
      </c>
      <c r="C23" s="11" t="n">
        <v>90.36</v>
      </c>
      <c r="D23" s="11" t="n">
        <v>174.21</v>
      </c>
      <c r="E23" s="11" t="n">
        <v>77.81</v>
      </c>
      <c r="F23" s="11" t="n">
        <v>104.55</v>
      </c>
      <c r="G23" s="11" t="n">
        <v>90.97</v>
      </c>
    </row>
    <row r="24">
      <c r="A24" s="16" t="n">
        <v>2026</v>
      </c>
      <c r="B24" s="9" t="n">
        <v>114.83</v>
      </c>
      <c r="C24" s="9" t="n">
        <v>98.27</v>
      </c>
      <c r="D24" s="9" t="n">
        <v>198.67</v>
      </c>
      <c r="E24" s="9" t="n">
        <v>75.7</v>
      </c>
      <c r="F24" s="9" t="n">
        <v>111.29</v>
      </c>
      <c r="G24" s="9" t="n">
        <v>86.95</v>
      </c>
    </row>
    <row r="27">
      <c r="A27" s="17" t="inlineStr">
        <is>
          <t>Estacionalidad por producto (% respecto al promedio del año)</t>
        </is>
      </c>
    </row>
    <row r="28">
      <c r="A28" s="6" t="inlineStr">
        <is>
          <t>Producto</t>
        </is>
      </c>
      <c r="B28" s="7" t="inlineStr">
        <is>
          <t>Ene</t>
        </is>
      </c>
      <c r="C28" s="7" t="inlineStr">
        <is>
          <t>Feb</t>
        </is>
      </c>
      <c r="D28" s="7" t="inlineStr">
        <is>
          <t>Mar</t>
        </is>
      </c>
      <c r="E28" s="7" t="inlineStr">
        <is>
          <t>Abr</t>
        </is>
      </c>
      <c r="F28" s="7" t="inlineStr">
        <is>
          <t>May</t>
        </is>
      </c>
      <c r="G28" s="7" t="inlineStr">
        <is>
          <t>Jun</t>
        </is>
      </c>
      <c r="H28" s="7" t="inlineStr">
        <is>
          <t>Jul</t>
        </is>
      </c>
      <c r="I28" s="7" t="inlineStr">
        <is>
          <t>Ago</t>
        </is>
      </c>
      <c r="J28" s="7" t="inlineStr">
        <is>
          <t>Sep</t>
        </is>
      </c>
      <c r="K28" s="7" t="inlineStr">
        <is>
          <t>Oct</t>
        </is>
      </c>
      <c r="L28" s="7" t="inlineStr">
        <is>
          <t>Nov</t>
        </is>
      </c>
      <c r="M28" s="7" t="inlineStr">
        <is>
          <t>Dic</t>
        </is>
      </c>
    </row>
    <row r="29">
      <c r="A29" s="13" t="inlineStr">
        <is>
          <t>Gasolinas</t>
        </is>
      </c>
      <c r="B29" s="11" t="n">
        <v>-1.21</v>
      </c>
      <c r="C29" s="11" t="n">
        <v>0.42</v>
      </c>
      <c r="D29" s="11" t="n">
        <v>2.13</v>
      </c>
      <c r="E29" s="11" t="n">
        <v>-2.69</v>
      </c>
      <c r="F29" s="11" t="n">
        <v>1.59</v>
      </c>
      <c r="G29" s="11" t="n">
        <v>1.18</v>
      </c>
      <c r="H29" s="11" t="n">
        <v>0.02</v>
      </c>
      <c r="I29" s="11" t="n">
        <v>-0.64</v>
      </c>
      <c r="J29" s="11" t="n">
        <v>-0.54</v>
      </c>
      <c r="K29" s="11" t="n">
        <v>-0.31</v>
      </c>
      <c r="L29" s="11" t="n">
        <v>-0.11</v>
      </c>
      <c r="M29" s="11" t="n">
        <v>1.75</v>
      </c>
    </row>
    <row r="30">
      <c r="A30" s="16" t="inlineStr">
        <is>
          <t>Regular</t>
        </is>
      </c>
      <c r="B30" s="9" t="n">
        <v>-2.8</v>
      </c>
      <c r="C30" s="9" t="n">
        <v>-1.87</v>
      </c>
      <c r="D30" s="9" t="n">
        <v>1.15</v>
      </c>
      <c r="E30" s="9" t="n">
        <v>-1.72</v>
      </c>
      <c r="F30" s="9" t="n">
        <v>2.29</v>
      </c>
      <c r="G30" s="9" t="n">
        <v>2.04</v>
      </c>
      <c r="H30" s="9" t="n">
        <v>0.87</v>
      </c>
      <c r="I30" s="9" t="n">
        <v>0.13</v>
      </c>
      <c r="J30" s="9" t="n">
        <v>-0.23</v>
      </c>
      <c r="K30" s="9" t="n">
        <v>0.17</v>
      </c>
      <c r="L30" s="9" t="n">
        <v>-1.3</v>
      </c>
      <c r="M30" s="9" t="n">
        <v>2.57</v>
      </c>
    </row>
    <row r="31">
      <c r="A31" s="13" t="inlineStr">
        <is>
          <t>Premium</t>
        </is>
      </c>
      <c r="B31" s="11" t="n">
        <v>-2.81</v>
      </c>
      <c r="C31" s="11" t="n">
        <v>1.28</v>
      </c>
      <c r="D31" s="11" t="n">
        <v>2.43</v>
      </c>
      <c r="E31" s="11" t="n">
        <v>-2.43</v>
      </c>
      <c r="F31" s="11" t="n">
        <v>1.42</v>
      </c>
      <c r="G31" s="11" t="n">
        <v>0.49</v>
      </c>
      <c r="H31" s="11" t="n">
        <v>0.45</v>
      </c>
      <c r="I31" s="11" t="n">
        <v>-1.19</v>
      </c>
      <c r="J31" s="11" t="n">
        <v>-1.16</v>
      </c>
      <c r="K31" s="11" t="n">
        <v>-0.73</v>
      </c>
      <c r="L31" s="11" t="n">
        <v>0.84</v>
      </c>
      <c r="M31" s="11" t="n">
        <v>1.63</v>
      </c>
    </row>
    <row r="32">
      <c r="A32" s="16" t="inlineStr">
        <is>
          <t>Diésel</t>
        </is>
      </c>
      <c r="B32" s="9" t="n">
        <v>-2.4</v>
      </c>
      <c r="C32" s="9" t="n">
        <v>0.3</v>
      </c>
      <c r="D32" s="9" t="n">
        <v>1.62</v>
      </c>
      <c r="E32" s="9" t="n">
        <v>-0.09</v>
      </c>
      <c r="F32" s="9" t="n">
        <v>5.29</v>
      </c>
      <c r="G32" s="9" t="n">
        <v>3.35</v>
      </c>
      <c r="H32" s="9" t="n">
        <v>0.66</v>
      </c>
      <c r="I32" s="9" t="n">
        <v>-1.58</v>
      </c>
      <c r="J32" s="9" t="n">
        <v>-4.91</v>
      </c>
      <c r="K32" s="9" t="n">
        <v>0.17</v>
      </c>
      <c r="L32" s="9" t="n">
        <v>2.1</v>
      </c>
      <c r="M32" s="9" t="n">
        <v>-3.61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Venta en la bomba de gasolinas por entidad</t>
        </is>
      </c>
    </row>
    <row r="2">
      <c r="A2" s="2" t="inlineStr">
        <is>
          <t>Millones de litros diarios · promedio enero-julio</t>
        </is>
      </c>
    </row>
    <row r="5">
      <c r="A5" s="2" t="inlineStr">
        <is>
          <t>Ordenado por crecimiento. «Aporte pp» = contribución de cada entidad al crecimiento nacional.</t>
        </is>
      </c>
    </row>
    <row r="6">
      <c r="A6" s="6" t="inlineStr">
        <is>
          <t>Entidad</t>
        </is>
      </c>
      <c r="B6" s="7" t="inlineStr">
        <is>
          <t>2025</t>
        </is>
      </c>
      <c r="C6" s="7" t="inlineStr">
        <is>
          <t>2026</t>
        </is>
      </c>
      <c r="D6" s="7" t="inlineStr">
        <is>
          <t>Var %</t>
        </is>
      </c>
      <c r="E6" s="7" t="inlineStr">
        <is>
          <t>Aporte pp</t>
        </is>
      </c>
      <c r="F6" s="7" t="inlineStr">
        <is>
          <t>% Premium 2025</t>
        </is>
      </c>
      <c r="G6" s="7" t="inlineStr">
        <is>
          <t>% Premium 2026</t>
        </is>
      </c>
      <c r="H6" s="7" t="inlineStr">
        <is>
          <t>Δ Premium pp</t>
        </is>
      </c>
    </row>
    <row r="7">
      <c r="A7" s="13" t="inlineStr">
        <is>
          <t>Campeche</t>
        </is>
      </c>
      <c r="B7" s="11" t="n">
        <v>0.794</v>
      </c>
      <c r="C7" s="11" t="n">
        <v>0.904</v>
      </c>
      <c r="D7" s="11" t="n">
        <v>13.793</v>
      </c>
      <c r="E7" s="11" t="n">
        <v>0.08500000000000001</v>
      </c>
      <c r="F7" s="11" t="n">
        <v>23.995</v>
      </c>
      <c r="G7" s="11" t="n">
        <v>19.372</v>
      </c>
      <c r="H7" s="11" t="n">
        <v>-4.623</v>
      </c>
    </row>
    <row r="8">
      <c r="A8" s="16" t="inlineStr">
        <is>
          <t>Yucatán</t>
        </is>
      </c>
      <c r="B8" s="9" t="n">
        <v>2.478</v>
      </c>
      <c r="C8" s="9" t="n">
        <v>2.68</v>
      </c>
      <c r="D8" s="9" t="n">
        <v>8.127000000000001</v>
      </c>
      <c r="E8" s="9" t="n">
        <v>0.156</v>
      </c>
      <c r="F8" s="9" t="n">
        <v>30.825</v>
      </c>
      <c r="G8" s="9" t="n">
        <v>27.38</v>
      </c>
      <c r="H8" s="9" t="n">
        <v>-3.444</v>
      </c>
    </row>
    <row r="9">
      <c r="A9" s="13" t="inlineStr">
        <is>
          <t>Chiapas</t>
        </is>
      </c>
      <c r="B9" s="11" t="n">
        <v>3.59</v>
      </c>
      <c r="C9" s="11" t="n">
        <v>3.818</v>
      </c>
      <c r="D9" s="11" t="n">
        <v>6.343</v>
      </c>
      <c r="E9" s="11" t="n">
        <v>0.176</v>
      </c>
      <c r="F9" s="11" t="n">
        <v>27.778</v>
      </c>
      <c r="G9" s="11" t="n">
        <v>23.368</v>
      </c>
      <c r="H9" s="11" t="n">
        <v>-4.41</v>
      </c>
    </row>
    <row r="10">
      <c r="A10" s="16" t="inlineStr">
        <is>
          <t>Zacatecas</t>
        </is>
      </c>
      <c r="B10" s="9" t="n">
        <v>1.811</v>
      </c>
      <c r="C10" s="9" t="n">
        <v>1.9</v>
      </c>
      <c r="D10" s="9" t="n">
        <v>4.904</v>
      </c>
      <c r="E10" s="9" t="n">
        <v>0.06900000000000001</v>
      </c>
      <c r="F10" s="9" t="n">
        <v>14.158</v>
      </c>
      <c r="G10" s="9" t="n">
        <v>13.257</v>
      </c>
      <c r="H10" s="9" t="n">
        <v>-0.9</v>
      </c>
    </row>
    <row r="11">
      <c r="A11" s="13" t="inlineStr">
        <is>
          <t>Oaxaca</t>
        </is>
      </c>
      <c r="B11" s="11" t="n">
        <v>2.967</v>
      </c>
      <c r="C11" s="11" t="n">
        <v>3.103</v>
      </c>
      <c r="D11" s="11" t="n">
        <v>4.564</v>
      </c>
      <c r="E11" s="11" t="n">
        <v>0.105</v>
      </c>
      <c r="F11" s="11" t="n">
        <v>32.915</v>
      </c>
      <c r="G11" s="11" t="n">
        <v>28.755</v>
      </c>
      <c r="H11" s="11" t="n">
        <v>-4.16</v>
      </c>
    </row>
    <row r="12">
      <c r="A12" s="16" t="inlineStr">
        <is>
          <t>Tlaxcala</t>
        </is>
      </c>
      <c r="B12" s="9" t="n">
        <v>1.148</v>
      </c>
      <c r="C12" s="9" t="n">
        <v>1.196</v>
      </c>
      <c r="D12" s="9" t="n">
        <v>4.173</v>
      </c>
      <c r="E12" s="9" t="n">
        <v>0.037</v>
      </c>
      <c r="F12" s="9" t="n">
        <v>21.4</v>
      </c>
      <c r="G12" s="9" t="n">
        <v>18.464</v>
      </c>
      <c r="H12" s="9" t="n">
        <v>-2.936</v>
      </c>
    </row>
    <row r="13">
      <c r="A13" s="13" t="inlineStr">
        <is>
          <t>Puebla</t>
        </is>
      </c>
      <c r="B13" s="11" t="n">
        <v>5.118</v>
      </c>
      <c r="C13" s="11" t="n">
        <v>5.316</v>
      </c>
      <c r="D13" s="11" t="n">
        <v>3.864</v>
      </c>
      <c r="E13" s="11" t="n">
        <v>0.153</v>
      </c>
      <c r="F13" s="11" t="n">
        <v>27.57</v>
      </c>
      <c r="G13" s="11" t="n">
        <v>23.73</v>
      </c>
      <c r="H13" s="11" t="n">
        <v>-3.839</v>
      </c>
    </row>
    <row r="14">
      <c r="A14" s="16" t="inlineStr">
        <is>
          <t>Veracruz de Ignacio de la Llave</t>
        </is>
      </c>
      <c r="B14" s="9" t="n">
        <v>6.117</v>
      </c>
      <c r="C14" s="9" t="n">
        <v>6.337</v>
      </c>
      <c r="D14" s="9" t="n">
        <v>3.598</v>
      </c>
      <c r="E14" s="9" t="n">
        <v>0.17</v>
      </c>
      <c r="F14" s="9" t="n">
        <v>28.354</v>
      </c>
      <c r="G14" s="9" t="n">
        <v>23.829</v>
      </c>
      <c r="H14" s="9" t="n">
        <v>-4.525</v>
      </c>
    </row>
    <row r="15">
      <c r="A15" s="13" t="inlineStr">
        <is>
          <t>Baja California Sur</t>
        </is>
      </c>
      <c r="B15" s="11" t="n">
        <v>1.705</v>
      </c>
      <c r="C15" s="11" t="n">
        <v>1.765</v>
      </c>
      <c r="D15" s="11" t="n">
        <v>3.569</v>
      </c>
      <c r="E15" s="11" t="n">
        <v>0.047</v>
      </c>
      <c r="F15" s="11" t="n">
        <v>30.901</v>
      </c>
      <c r="G15" s="11" t="n">
        <v>27.644</v>
      </c>
      <c r="H15" s="11" t="n">
        <v>-3.258</v>
      </c>
    </row>
    <row r="16">
      <c r="A16" s="16" t="inlineStr">
        <is>
          <t>Hidalgo</t>
        </is>
      </c>
      <c r="B16" s="9" t="n">
        <v>2.93</v>
      </c>
      <c r="C16" s="9" t="n">
        <v>3.032</v>
      </c>
      <c r="D16" s="9" t="n">
        <v>3.487</v>
      </c>
      <c r="E16" s="9" t="n">
        <v>0.079</v>
      </c>
      <c r="F16" s="9" t="n">
        <v>22.689</v>
      </c>
      <c r="G16" s="9" t="n">
        <v>19.483</v>
      </c>
      <c r="H16" s="9" t="n">
        <v>-3.206</v>
      </c>
    </row>
    <row r="17">
      <c r="A17" s="13" t="inlineStr">
        <is>
          <t>Guerrero</t>
        </is>
      </c>
      <c r="B17" s="11" t="n">
        <v>2.284</v>
      </c>
      <c r="C17" s="11" t="n">
        <v>2.36</v>
      </c>
      <c r="D17" s="11" t="n">
        <v>3.294</v>
      </c>
      <c r="E17" s="11" t="n">
        <v>0.058</v>
      </c>
      <c r="F17" s="11" t="n">
        <v>38.815</v>
      </c>
      <c r="G17" s="11" t="n">
        <v>32.273</v>
      </c>
      <c r="H17" s="11" t="n">
        <v>-6.542</v>
      </c>
    </row>
    <row r="18">
      <c r="A18" s="16" t="inlineStr">
        <is>
          <t>Sinaloa</t>
        </is>
      </c>
      <c r="B18" s="9" t="n">
        <v>3.801</v>
      </c>
      <c r="C18" s="9" t="n">
        <v>3.924</v>
      </c>
      <c r="D18" s="9" t="n">
        <v>3.259</v>
      </c>
      <c r="E18" s="9" t="n">
        <v>0.096</v>
      </c>
      <c r="F18" s="9" t="n">
        <v>26.121</v>
      </c>
      <c r="G18" s="9" t="n">
        <v>21.959</v>
      </c>
      <c r="H18" s="9" t="n">
        <v>-4.162</v>
      </c>
    </row>
    <row r="19">
      <c r="A19" s="13" t="inlineStr">
        <is>
          <t>México</t>
        </is>
      </c>
      <c r="B19" s="11" t="n">
        <v>13.92</v>
      </c>
      <c r="C19" s="11" t="n">
        <v>14.327</v>
      </c>
      <c r="D19" s="11" t="n">
        <v>2.924</v>
      </c>
      <c r="E19" s="11" t="n">
        <v>0.314</v>
      </c>
      <c r="F19" s="11" t="n">
        <v>20.785</v>
      </c>
      <c r="G19" s="11" t="n">
        <v>19.563</v>
      </c>
      <c r="H19" s="11" t="n">
        <v>-1.223</v>
      </c>
    </row>
    <row r="20">
      <c r="A20" s="16" t="inlineStr">
        <is>
          <t>Sonora</t>
        </is>
      </c>
      <c r="B20" s="9" t="n">
        <v>4.623</v>
      </c>
      <c r="C20" s="9" t="n">
        <v>4.745</v>
      </c>
      <c r="D20" s="9" t="n">
        <v>2.629</v>
      </c>
      <c r="E20" s="9" t="n">
        <v>0.094</v>
      </c>
      <c r="F20" s="9" t="n">
        <v>15.167</v>
      </c>
      <c r="G20" s="9" t="n">
        <v>13.782</v>
      </c>
      <c r="H20" s="9" t="n">
        <v>-1.385</v>
      </c>
    </row>
    <row r="21">
      <c r="A21" s="13" t="inlineStr">
        <is>
          <t>Chihuahua</t>
        </is>
      </c>
      <c r="B21" s="11" t="n">
        <v>5.892</v>
      </c>
      <c r="C21" s="11" t="n">
        <v>6.046</v>
      </c>
      <c r="D21" s="11" t="n">
        <v>2.605</v>
      </c>
      <c r="E21" s="11" t="n">
        <v>0.119</v>
      </c>
      <c r="F21" s="11" t="n">
        <v>10.862</v>
      </c>
      <c r="G21" s="11" t="n">
        <v>10.543</v>
      </c>
      <c r="H21" s="11" t="n">
        <v>-0.318</v>
      </c>
    </row>
    <row r="22">
      <c r="A22" s="16" t="inlineStr">
        <is>
          <t>San Luis Potosí</t>
        </is>
      </c>
      <c r="B22" s="9" t="n">
        <v>3.034</v>
      </c>
      <c r="C22" s="9" t="n">
        <v>3.113</v>
      </c>
      <c r="D22" s="9" t="n">
        <v>2.589</v>
      </c>
      <c r="E22" s="9" t="n">
        <v>0.061</v>
      </c>
      <c r="F22" s="9" t="n">
        <v>18.531</v>
      </c>
      <c r="G22" s="9" t="n">
        <v>17.156</v>
      </c>
      <c r="H22" s="9" t="n">
        <v>-1.375</v>
      </c>
    </row>
    <row r="23">
      <c r="A23" s="13" t="inlineStr">
        <is>
          <t>Colima</t>
        </is>
      </c>
      <c r="B23" s="11" t="n">
        <v>0.994</v>
      </c>
      <c r="C23" s="11" t="n">
        <v>1.018</v>
      </c>
      <c r="D23" s="11" t="n">
        <v>2.465</v>
      </c>
      <c r="E23" s="11" t="n">
        <v>0.019</v>
      </c>
      <c r="F23" s="11" t="n">
        <v>30.599</v>
      </c>
      <c r="G23" s="11" t="n">
        <v>27.87</v>
      </c>
      <c r="H23" s="11" t="n">
        <v>-2.729</v>
      </c>
    </row>
    <row r="24">
      <c r="A24" s="16" t="inlineStr">
        <is>
          <t>Guanajuato</t>
        </is>
      </c>
      <c r="B24" s="9" t="n">
        <v>5.985</v>
      </c>
      <c r="C24" s="9" t="n">
        <v>6.129</v>
      </c>
      <c r="D24" s="9" t="n">
        <v>2.406</v>
      </c>
      <c r="E24" s="9" t="n">
        <v>0.111</v>
      </c>
      <c r="F24" s="9" t="n">
        <v>18.983</v>
      </c>
      <c r="G24" s="9" t="n">
        <v>17.48</v>
      </c>
      <c r="H24" s="9" t="n">
        <v>-1.503</v>
      </c>
    </row>
    <row r="25">
      <c r="A25" s="13" t="inlineStr">
        <is>
          <t>Aguascalientes</t>
        </is>
      </c>
      <c r="B25" s="11" t="n">
        <v>1.727</v>
      </c>
      <c r="C25" s="11" t="n">
        <v>1.761</v>
      </c>
      <c r="D25" s="11" t="n">
        <v>1.939</v>
      </c>
      <c r="E25" s="11" t="n">
        <v>0.026</v>
      </c>
      <c r="F25" s="11" t="n">
        <v>19.029</v>
      </c>
      <c r="G25" s="11" t="n">
        <v>17.543</v>
      </c>
      <c r="H25" s="11" t="n">
        <v>-1.486</v>
      </c>
    </row>
    <row r="26">
      <c r="A26" s="16" t="inlineStr">
        <is>
          <t>Michoacán de Ocampo</t>
        </is>
      </c>
      <c r="B26" s="9" t="n">
        <v>4.74</v>
      </c>
      <c r="C26" s="9" t="n">
        <v>4.823</v>
      </c>
      <c r="D26" s="9" t="n">
        <v>1.747</v>
      </c>
      <c r="E26" s="9" t="n">
        <v>0.064</v>
      </c>
      <c r="F26" s="9" t="n">
        <v>22.706</v>
      </c>
      <c r="G26" s="9" t="n">
        <v>19.226</v>
      </c>
      <c r="H26" s="9" t="n">
        <v>-3.479</v>
      </c>
    </row>
    <row r="27">
      <c r="A27" s="13" t="inlineStr">
        <is>
          <t>Tamaulipas</t>
        </is>
      </c>
      <c r="B27" s="11" t="n">
        <v>4.855</v>
      </c>
      <c r="C27" s="11" t="n">
        <v>4.935</v>
      </c>
      <c r="D27" s="11" t="n">
        <v>1.643</v>
      </c>
      <c r="E27" s="11" t="n">
        <v>0.062</v>
      </c>
      <c r="F27" s="11" t="n">
        <v>12.87</v>
      </c>
      <c r="G27" s="11" t="n">
        <v>12.449</v>
      </c>
      <c r="H27" s="11" t="n">
        <v>-0.421</v>
      </c>
    </row>
    <row r="28">
      <c r="A28" s="16" t="inlineStr">
        <is>
          <t>Quintana Roo</t>
        </is>
      </c>
      <c r="B28" s="9" t="n">
        <v>2.622</v>
      </c>
      <c r="C28" s="9" t="n">
        <v>2.631</v>
      </c>
      <c r="D28" s="9" t="n">
        <v>0.364</v>
      </c>
      <c r="E28" s="9" t="n">
        <v>0.007</v>
      </c>
      <c r="F28" s="9" t="n">
        <v>33.609</v>
      </c>
      <c r="G28" s="9" t="n">
        <v>29.59</v>
      </c>
      <c r="H28" s="9" t="n">
        <v>-4.019</v>
      </c>
    </row>
    <row r="29">
      <c r="A29" s="13" t="inlineStr">
        <is>
          <t>Nayarit</t>
        </is>
      </c>
      <c r="B29" s="11" t="n">
        <v>1.361</v>
      </c>
      <c r="C29" s="11" t="n">
        <v>1.366</v>
      </c>
      <c r="D29" s="11" t="n">
        <v>0.3</v>
      </c>
      <c r="E29" s="11" t="n">
        <v>0.003</v>
      </c>
      <c r="F29" s="11" t="n">
        <v>31.13</v>
      </c>
      <c r="G29" s="11" t="n">
        <v>26.472</v>
      </c>
      <c r="H29" s="11" t="n">
        <v>-4.658</v>
      </c>
    </row>
    <row r="30">
      <c r="A30" s="16" t="inlineStr">
        <is>
          <t>Ciudad de México</t>
        </is>
      </c>
      <c r="B30" s="9" t="n">
        <v>7.269</v>
      </c>
      <c r="C30" s="9" t="n">
        <v>7.284</v>
      </c>
      <c r="D30" s="9" t="n">
        <v>0.196</v>
      </c>
      <c r="E30" s="9" t="n">
        <v>0.011</v>
      </c>
      <c r="F30" s="9" t="n">
        <v>26.126</v>
      </c>
      <c r="G30" s="9" t="n">
        <v>25.195</v>
      </c>
      <c r="H30" s="9" t="n">
        <v>-0.931</v>
      </c>
    </row>
    <row r="31">
      <c r="A31" s="13" t="inlineStr">
        <is>
          <t>Querétaro</t>
        </is>
      </c>
      <c r="B31" s="11" t="n">
        <v>3.598</v>
      </c>
      <c r="C31" s="11" t="n">
        <v>3.603</v>
      </c>
      <c r="D31" s="11" t="n">
        <v>0.147</v>
      </c>
      <c r="E31" s="11" t="n">
        <v>0.004</v>
      </c>
      <c r="F31" s="11" t="n">
        <v>27.114</v>
      </c>
      <c r="G31" s="11" t="n">
        <v>23.565</v>
      </c>
      <c r="H31" s="11" t="n">
        <v>-3.55</v>
      </c>
    </row>
    <row r="32">
      <c r="A32" s="16" t="inlineStr">
        <is>
          <t>Baja California</t>
        </is>
      </c>
      <c r="B32" s="9" t="n">
        <v>7.221</v>
      </c>
      <c r="C32" s="9" t="n">
        <v>7.232</v>
      </c>
      <c r="D32" s="9" t="n">
        <v>0.143</v>
      </c>
      <c r="E32" s="9" t="n">
        <v>0.008</v>
      </c>
      <c r="F32" s="9" t="n">
        <v>19.367</v>
      </c>
      <c r="G32" s="9" t="n">
        <v>17.233</v>
      </c>
      <c r="H32" s="9" t="n">
        <v>-2.134</v>
      </c>
    </row>
    <row r="33">
      <c r="A33" s="13" t="inlineStr">
        <is>
          <t>Nuevo León</t>
        </is>
      </c>
      <c r="B33" s="11" t="n">
        <v>7.379</v>
      </c>
      <c r="C33" s="11" t="n">
        <v>7.39</v>
      </c>
      <c r="D33" s="11" t="n">
        <v>0.138</v>
      </c>
      <c r="E33" s="11" t="n">
        <v>0.008</v>
      </c>
      <c r="F33" s="11" t="n">
        <v>24.904</v>
      </c>
      <c r="G33" s="11" t="n">
        <v>26.438</v>
      </c>
      <c r="H33" s="11" t="n">
        <v>1.535</v>
      </c>
    </row>
    <row r="34">
      <c r="A34" s="16" t="inlineStr">
        <is>
          <t>Durango</t>
        </is>
      </c>
      <c r="B34" s="9" t="n">
        <v>1.82</v>
      </c>
      <c r="C34" s="9" t="n">
        <v>1.821</v>
      </c>
      <c r="D34" s="9" t="n">
        <v>0.048</v>
      </c>
      <c r="E34" s="9" t="n">
        <v>0.001</v>
      </c>
      <c r="F34" s="9" t="n">
        <v>17.648</v>
      </c>
      <c r="G34" s="9" t="n">
        <v>16.403</v>
      </c>
      <c r="H34" s="9" t="n">
        <v>-1.246</v>
      </c>
    </row>
    <row r="35">
      <c r="A35" s="13" t="inlineStr">
        <is>
          <t>Coahuila de Zaragoza</t>
        </is>
      </c>
      <c r="B35" s="11" t="n">
        <v>3.872</v>
      </c>
      <c r="C35" s="11" t="n">
        <v>3.873</v>
      </c>
      <c r="D35" s="11" t="n">
        <v>0.017</v>
      </c>
      <c r="E35" s="11" t="n">
        <v>0</v>
      </c>
      <c r="F35" s="11" t="n">
        <v>20.417</v>
      </c>
      <c r="G35" s="11" t="n">
        <v>20.926</v>
      </c>
      <c r="H35" s="11" t="n">
        <v>0.509</v>
      </c>
    </row>
    <row r="36">
      <c r="A36" s="16" t="inlineStr">
        <is>
          <t>Tabasco</t>
        </is>
      </c>
      <c r="B36" s="9" t="n">
        <v>2.245</v>
      </c>
      <c r="C36" s="9" t="n">
        <v>2.231</v>
      </c>
      <c r="D36" s="9" t="n">
        <v>-0.606</v>
      </c>
      <c r="E36" s="9" t="n">
        <v>-0.011</v>
      </c>
      <c r="F36" s="9" t="n">
        <v>24.061</v>
      </c>
      <c r="G36" s="9" t="n">
        <v>20.154</v>
      </c>
      <c r="H36" s="9" t="n">
        <v>-3.907</v>
      </c>
    </row>
    <row r="37">
      <c r="A37" s="13" t="inlineStr">
        <is>
          <t>Jalisco</t>
        </is>
      </c>
      <c r="B37" s="11" t="n">
        <v>9.548999999999999</v>
      </c>
      <c r="C37" s="11" t="n">
        <v>9.484999999999999</v>
      </c>
      <c r="D37" s="11" t="n">
        <v>-0.67</v>
      </c>
      <c r="E37" s="11" t="n">
        <v>-0.049</v>
      </c>
      <c r="F37" s="11" t="n">
        <v>31.48</v>
      </c>
      <c r="G37" s="11" t="n">
        <v>29.505</v>
      </c>
      <c r="H37" s="11" t="n">
        <v>-1.975</v>
      </c>
    </row>
    <row r="38">
      <c r="A38" s="16" t="inlineStr">
        <is>
          <t>Morelos</t>
        </is>
      </c>
      <c r="B38" s="9" t="n">
        <v>1.948</v>
      </c>
      <c r="C38" s="9" t="n">
        <v>1.929</v>
      </c>
      <c r="D38" s="9" t="n">
        <v>-0.951</v>
      </c>
      <c r="E38" s="9" t="n">
        <v>-0.014</v>
      </c>
      <c r="F38" s="9" t="n">
        <v>34.826</v>
      </c>
      <c r="G38" s="9" t="n">
        <v>30.01</v>
      </c>
      <c r="H38" s="9" t="n">
        <v>-4.816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Series ajustadas por estacionalidad (STL) y momentum</t>
        </is>
      </c>
    </row>
    <row r="2">
      <c r="A2" s="2" t="inlineStr">
        <is>
          <t>Venta en la bomba · millones de litros diarios y variaciones %</t>
        </is>
      </c>
    </row>
    <row r="5">
      <c r="A5" s="6" t="inlineStr">
        <is>
          <t>Mes</t>
        </is>
      </c>
      <c r="B5" s="7" t="inlineStr">
        <is>
          <t>Gasolinas ajustada</t>
        </is>
      </c>
      <c r="C5" s="7" t="inlineStr">
        <is>
          <t>Gasolinas tendencia</t>
        </is>
      </c>
      <c r="D5" s="7" t="inlineStr">
        <is>
          <t>Gasolinas var. anual %</t>
        </is>
      </c>
      <c r="E5" s="7" t="inlineStr">
        <is>
          <t>Gasolinas 3m/3m anualiz. %</t>
        </is>
      </c>
      <c r="F5" s="7" t="inlineStr">
        <is>
          <t>Diésel ajustada</t>
        </is>
      </c>
      <c r="G5" s="7" t="inlineStr">
        <is>
          <t>Diésel tendencia</t>
        </is>
      </c>
      <c r="H5" s="7" t="inlineStr">
        <is>
          <t>Diésel var. anual %</t>
        </is>
      </c>
      <c r="I5" s="7" t="inlineStr">
        <is>
          <t>Diésel 3m/3m anualiz. %</t>
        </is>
      </c>
    </row>
    <row r="6">
      <c r="A6" s="8" t="n">
        <v>42370</v>
      </c>
      <c r="B6" s="9" t="n">
        <v>129.695</v>
      </c>
      <c r="C6" s="9" t="n">
        <v>129.848</v>
      </c>
      <c r="D6" s="9" t="n"/>
      <c r="E6" s="9" t="n"/>
      <c r="F6" s="9" t="n">
        <v>41.029</v>
      </c>
      <c r="G6" s="9" t="n">
        <v>40.487</v>
      </c>
      <c r="H6" s="9" t="n"/>
      <c r="I6" s="9" t="n"/>
    </row>
    <row r="7">
      <c r="A7" s="10" t="n">
        <v>42401</v>
      </c>
      <c r="B7" s="11" t="n">
        <v>128.601</v>
      </c>
      <c r="C7" s="11" t="n">
        <v>128.649</v>
      </c>
      <c r="D7" s="11" t="n"/>
      <c r="E7" s="11" t="n"/>
      <c r="F7" s="11" t="n">
        <v>40.256</v>
      </c>
      <c r="G7" s="11" t="n">
        <v>40.263</v>
      </c>
      <c r="H7" s="11" t="n"/>
      <c r="I7" s="11" t="n"/>
    </row>
    <row r="8">
      <c r="A8" s="8" t="n">
        <v>42430</v>
      </c>
      <c r="B8" s="9" t="n">
        <v>127.63</v>
      </c>
      <c r="C8" s="9" t="n">
        <v>127.46</v>
      </c>
      <c r="D8" s="9" t="n"/>
      <c r="E8" s="9" t="n"/>
      <c r="F8" s="9" t="n">
        <v>39.607</v>
      </c>
      <c r="G8" s="9" t="n">
        <v>40.04</v>
      </c>
      <c r="H8" s="9" t="n"/>
      <c r="I8" s="9" t="n"/>
    </row>
    <row r="9">
      <c r="A9" s="10" t="n">
        <v>42461</v>
      </c>
      <c r="B9" s="11" t="n">
        <v>126.137</v>
      </c>
      <c r="C9" s="11" t="n">
        <v>126.282</v>
      </c>
      <c r="D9" s="11" t="n"/>
      <c r="E9" s="11" t="n"/>
      <c r="F9" s="11" t="n">
        <v>40.178</v>
      </c>
      <c r="G9" s="11" t="n">
        <v>39.818</v>
      </c>
      <c r="H9" s="11" t="n"/>
      <c r="I9" s="11" t="n"/>
    </row>
    <row r="10">
      <c r="A10" s="8" t="n">
        <v>42491</v>
      </c>
      <c r="B10" s="9" t="n">
        <v>125.134</v>
      </c>
      <c r="C10" s="9" t="n">
        <v>125.114</v>
      </c>
      <c r="D10" s="9" t="n"/>
      <c r="E10" s="9" t="n"/>
      <c r="F10" s="9" t="n">
        <v>38.828</v>
      </c>
      <c r="G10" s="9" t="n">
        <v>39.598</v>
      </c>
      <c r="H10" s="9" t="n"/>
      <c r="I10" s="9" t="n"/>
    </row>
    <row r="11">
      <c r="A11" s="10" t="n">
        <v>42522</v>
      </c>
      <c r="B11" s="11" t="n">
        <v>124.067</v>
      </c>
      <c r="C11" s="11" t="n">
        <v>123.957</v>
      </c>
      <c r="D11" s="11" t="n"/>
      <c r="E11" s="11" t="n">
        <v>-10.53</v>
      </c>
      <c r="F11" s="11" t="n">
        <v>39.08</v>
      </c>
      <c r="G11" s="11" t="n">
        <v>39.377</v>
      </c>
      <c r="H11" s="11" t="n"/>
      <c r="I11" s="11" t="n">
        <v>-8.965</v>
      </c>
    </row>
    <row r="12">
      <c r="A12" s="8" t="n">
        <v>42552</v>
      </c>
      <c r="B12" s="9" t="n">
        <v>123.227</v>
      </c>
      <c r="C12" s="9" t="n">
        <v>122.81</v>
      </c>
      <c r="D12" s="9" t="n"/>
      <c r="E12" s="9" t="n">
        <v>-9.999000000000001</v>
      </c>
      <c r="F12" s="9" t="n">
        <v>39.158</v>
      </c>
      <c r="G12" s="9" t="n">
        <v>39.157</v>
      </c>
      <c r="H12" s="9" t="n"/>
      <c r="I12" s="9" t="n">
        <v>-9.554</v>
      </c>
    </row>
    <row r="13">
      <c r="A13" s="10" t="n">
        <v>42583</v>
      </c>
      <c r="B13" s="11" t="n">
        <v>121.592</v>
      </c>
      <c r="C13" s="11" t="n">
        <v>121.674</v>
      </c>
      <c r="D13" s="11" t="n"/>
      <c r="E13" s="11" t="n">
        <v>-10.161</v>
      </c>
      <c r="F13" s="11" t="n">
        <v>38.88</v>
      </c>
      <c r="G13" s="11" t="n">
        <v>38.938</v>
      </c>
      <c r="H13" s="11" t="n"/>
      <c r="I13" s="11" t="n">
        <v>-4.948</v>
      </c>
    </row>
    <row r="14">
      <c r="A14" s="8" t="n">
        <v>42614</v>
      </c>
      <c r="B14" s="9" t="n">
        <v>120.242</v>
      </c>
      <c r="C14" s="9" t="n">
        <v>120.547</v>
      </c>
      <c r="D14" s="9" t="n"/>
      <c r="E14" s="9" t="n">
        <v>-10.51</v>
      </c>
      <c r="F14" s="9" t="n">
        <v>39.49</v>
      </c>
      <c r="G14" s="9" t="n">
        <v>38.721</v>
      </c>
      <c r="H14" s="9" t="n"/>
      <c r="I14" s="9" t="n">
        <v>-1.879</v>
      </c>
    </row>
    <row r="15">
      <c r="A15" s="10" t="n">
        <v>42644</v>
      </c>
      <c r="B15" s="11" t="n">
        <v>119.36</v>
      </c>
      <c r="C15" s="11" t="n">
        <v>119.428</v>
      </c>
      <c r="D15" s="11" t="n"/>
      <c r="E15" s="11" t="n">
        <v>-11.531</v>
      </c>
      <c r="F15" s="11" t="n">
        <v>38.792</v>
      </c>
      <c r="G15" s="11" t="n">
        <v>38.508</v>
      </c>
      <c r="H15" s="11" t="n"/>
      <c r="I15" s="11" t="n">
        <v>0.33</v>
      </c>
    </row>
    <row r="16">
      <c r="A16" s="8" t="n">
        <v>42675</v>
      </c>
      <c r="B16" s="9" t="n">
        <v>118.382</v>
      </c>
      <c r="C16" s="9" t="n">
        <v>118.317</v>
      </c>
      <c r="D16" s="9" t="n"/>
      <c r="E16" s="9" t="n">
        <v>-11.308</v>
      </c>
      <c r="F16" s="9" t="n">
        <v>38.334</v>
      </c>
      <c r="G16" s="9" t="n">
        <v>38.3</v>
      </c>
      <c r="H16" s="9" t="n"/>
      <c r="I16" s="9" t="n">
        <v>-1.703</v>
      </c>
    </row>
    <row r="17">
      <c r="A17" s="10" t="n">
        <v>42705</v>
      </c>
      <c r="B17" s="11" t="n">
        <v>136.758</v>
      </c>
      <c r="C17" s="11" t="n">
        <v>117.213</v>
      </c>
      <c r="D17" s="11" t="n"/>
      <c r="E17" s="11" t="n">
        <v>10.749</v>
      </c>
      <c r="F17" s="11" t="n">
        <v>43.553</v>
      </c>
      <c r="G17" s="11" t="n">
        <v>38.103</v>
      </c>
      <c r="H17" s="11" t="n"/>
      <c r="I17" s="11" t="n">
        <v>11.164</v>
      </c>
    </row>
    <row r="18">
      <c r="A18" s="8" t="n">
        <v>42736</v>
      </c>
      <c r="B18" s="9" t="n">
        <v>93.738</v>
      </c>
      <c r="C18" s="9" t="n">
        <v>116.111</v>
      </c>
      <c r="D18" s="9" t="n">
        <v>-27.724</v>
      </c>
      <c r="E18" s="9" t="n">
        <v>-12.958</v>
      </c>
      <c r="F18" s="9" t="n">
        <v>36.829</v>
      </c>
      <c r="G18" s="9" t="n">
        <v>37.893</v>
      </c>
      <c r="H18" s="9" t="n">
        <v>-10.235</v>
      </c>
      <c r="I18" s="9" t="n">
        <v>5.41</v>
      </c>
    </row>
    <row r="19">
      <c r="A19" s="10" t="n">
        <v>42767</v>
      </c>
      <c r="B19" s="11" t="n">
        <v>103.947</v>
      </c>
      <c r="C19" s="11" t="n">
        <v>115.049</v>
      </c>
      <c r="D19" s="11" t="n">
        <v>-19.171</v>
      </c>
      <c r="E19" s="11" t="n">
        <v>-23.822</v>
      </c>
      <c r="F19" s="11" t="n">
        <v>37.755</v>
      </c>
      <c r="G19" s="11" t="n">
        <v>37.683</v>
      </c>
      <c r="H19" s="11" t="n">
        <v>-6.215</v>
      </c>
      <c r="I19" s="11" t="n">
        <v>5.32</v>
      </c>
    </row>
    <row r="20">
      <c r="A20" s="8" t="n">
        <v>42795</v>
      </c>
      <c r="B20" s="9" t="n">
        <v>102.773</v>
      </c>
      <c r="C20" s="9" t="n">
        <v>114.125</v>
      </c>
      <c r="D20" s="9" t="n">
        <v>-19.475</v>
      </c>
      <c r="E20" s="9" t="n">
        <v>-58.569</v>
      </c>
      <c r="F20" s="9" t="n">
        <v>39.136</v>
      </c>
      <c r="G20" s="9" t="n">
        <v>37.478</v>
      </c>
      <c r="H20" s="9" t="n">
        <v>-1.189</v>
      </c>
      <c r="I20" s="9" t="n">
        <v>-21.147</v>
      </c>
    </row>
    <row r="21">
      <c r="A21" s="10" t="n">
        <v>42826</v>
      </c>
      <c r="B21" s="11" t="n">
        <v>113.674</v>
      </c>
      <c r="C21" s="11" t="n">
        <v>113.346</v>
      </c>
      <c r="D21" s="11" t="n">
        <v>-9.880000000000001</v>
      </c>
      <c r="E21" s="11" t="n">
        <v>-28.871</v>
      </c>
      <c r="F21" s="11" t="n">
        <v>36.564</v>
      </c>
      <c r="G21" s="11" t="n">
        <v>37.277</v>
      </c>
      <c r="H21" s="11" t="n">
        <v>-8.996</v>
      </c>
      <c r="I21" s="11" t="n">
        <v>-16.584</v>
      </c>
    </row>
    <row r="22">
      <c r="A22" s="8" t="n">
        <v>42856</v>
      </c>
      <c r="B22" s="9" t="n">
        <v>111.017</v>
      </c>
      <c r="C22" s="9" t="n">
        <v>112.663</v>
      </c>
      <c r="D22" s="9" t="n">
        <v>-11.282</v>
      </c>
      <c r="E22" s="9" t="n">
        <v>-8.087999999999999</v>
      </c>
      <c r="F22" s="9" t="n">
        <v>37.484</v>
      </c>
      <c r="G22" s="9" t="n">
        <v>37.081</v>
      </c>
      <c r="H22" s="9" t="n">
        <v>-3.462</v>
      </c>
      <c r="I22" s="9" t="n">
        <v>-15.747</v>
      </c>
    </row>
    <row r="23">
      <c r="A23" s="10" t="n">
        <v>42887</v>
      </c>
      <c r="B23" s="11" t="n">
        <v>110.646</v>
      </c>
      <c r="C23" s="11" t="n">
        <v>112.072</v>
      </c>
      <c r="D23" s="11" t="n">
        <v>-10.818</v>
      </c>
      <c r="E23" s="11" t="n">
        <v>55.163</v>
      </c>
      <c r="F23" s="11" t="n">
        <v>37.29</v>
      </c>
      <c r="G23" s="11" t="n">
        <v>36.896</v>
      </c>
      <c r="H23" s="11" t="n">
        <v>-4.581</v>
      </c>
      <c r="I23" s="11" t="n">
        <v>-8.121</v>
      </c>
    </row>
    <row r="24">
      <c r="A24" s="8" t="n">
        <v>42917</v>
      </c>
      <c r="B24" s="9" t="n">
        <v>109.864</v>
      </c>
      <c r="C24" s="9" t="n">
        <v>111.672</v>
      </c>
      <c r="D24" s="9" t="n">
        <v>-10.844</v>
      </c>
      <c r="E24" s="9" t="n">
        <v>14.639</v>
      </c>
      <c r="F24" s="9" t="n">
        <v>36.316</v>
      </c>
      <c r="G24" s="9" t="n">
        <v>36.735</v>
      </c>
      <c r="H24" s="9" t="n">
        <v>-7.258</v>
      </c>
      <c r="I24" s="9" t="n">
        <v>-8.082000000000001</v>
      </c>
    </row>
    <row r="25">
      <c r="A25" s="10" t="n">
        <v>42948</v>
      </c>
      <c r="B25" s="11" t="n">
        <v>108.524</v>
      </c>
      <c r="C25" s="11" t="n">
        <v>111.569</v>
      </c>
      <c r="D25" s="11" t="n">
        <v>-10.747</v>
      </c>
      <c r="E25" s="11" t="n">
        <v>1.93</v>
      </c>
      <c r="F25" s="11" t="n">
        <v>36.247</v>
      </c>
      <c r="G25" s="11" t="n">
        <v>36.609</v>
      </c>
      <c r="H25" s="11" t="n">
        <v>-6.773</v>
      </c>
      <c r="I25" s="11" t="n">
        <v>-11.263</v>
      </c>
    </row>
    <row r="26">
      <c r="A26" s="8" t="n">
        <v>42979</v>
      </c>
      <c r="B26" s="9" t="n">
        <v>104.736</v>
      </c>
      <c r="C26" s="9" t="n">
        <v>111.705</v>
      </c>
      <c r="D26" s="9" t="n">
        <v>-12.896</v>
      </c>
      <c r="E26" s="9" t="n">
        <v>-13.791</v>
      </c>
      <c r="F26" s="9" t="n">
        <v>35.49</v>
      </c>
      <c r="G26" s="9" t="n">
        <v>36.519</v>
      </c>
      <c r="H26" s="9" t="n">
        <v>-10.13</v>
      </c>
      <c r="I26" s="9" t="n">
        <v>-11.29</v>
      </c>
    </row>
    <row r="27">
      <c r="A27" s="10" t="n">
        <v>43009</v>
      </c>
      <c r="B27" s="11" t="n">
        <v>104.89</v>
      </c>
      <c r="C27" s="11" t="n">
        <v>111.96</v>
      </c>
      <c r="D27" s="11" t="n">
        <v>-12.122</v>
      </c>
      <c r="E27" s="11" t="n">
        <v>-15.188</v>
      </c>
      <c r="F27" s="11" t="n">
        <v>35.883</v>
      </c>
      <c r="G27" s="11" t="n">
        <v>36.462</v>
      </c>
      <c r="H27" s="11" t="n">
        <v>-7.499</v>
      </c>
      <c r="I27" s="11" t="n">
        <v>-11.92</v>
      </c>
    </row>
    <row r="28">
      <c r="A28" s="8" t="n">
        <v>43040</v>
      </c>
      <c r="B28" s="9" t="n">
        <v>104.688</v>
      </c>
      <c r="C28" s="9" t="n">
        <v>112.252</v>
      </c>
      <c r="D28" s="9" t="n">
        <v>-11.567</v>
      </c>
      <c r="E28" s="9" t="n">
        <v>-16.728</v>
      </c>
      <c r="F28" s="9" t="n">
        <v>36.523</v>
      </c>
      <c r="G28" s="9" t="n">
        <v>36.429</v>
      </c>
      <c r="H28" s="9" t="n">
        <v>-4.722</v>
      </c>
      <c r="I28" s="9" t="n">
        <v>-6.935</v>
      </c>
    </row>
    <row r="29">
      <c r="A29" s="10" t="n">
        <v>43070</v>
      </c>
      <c r="B29" s="11" t="n">
        <v>112.534</v>
      </c>
      <c r="C29" s="11" t="n">
        <v>112.522</v>
      </c>
      <c r="D29" s="11" t="n">
        <v>-17.713</v>
      </c>
      <c r="E29" s="11" t="n">
        <v>-1.247</v>
      </c>
      <c r="F29" s="11" t="n">
        <v>36.532</v>
      </c>
      <c r="G29" s="11" t="n">
        <v>36.412</v>
      </c>
      <c r="H29" s="11" t="n">
        <v>-16.12</v>
      </c>
      <c r="I29" s="11" t="n">
        <v>3.323</v>
      </c>
    </row>
    <row r="30">
      <c r="A30" s="8" t="n">
        <v>43101</v>
      </c>
      <c r="B30" s="9" t="n">
        <v>100.617</v>
      </c>
      <c r="C30" s="9" t="n">
        <v>112.745</v>
      </c>
      <c r="D30" s="9" t="n">
        <v>7.339</v>
      </c>
      <c r="E30" s="9" t="n">
        <v>-0.391</v>
      </c>
      <c r="F30" s="9" t="n">
        <v>36.072</v>
      </c>
      <c r="G30" s="9" t="n">
        <v>36.405</v>
      </c>
      <c r="H30" s="9" t="n">
        <v>-2.056</v>
      </c>
      <c r="I30" s="9" t="n">
        <v>5.723</v>
      </c>
    </row>
    <row r="31">
      <c r="A31" s="10" t="n">
        <v>43132</v>
      </c>
      <c r="B31" s="11" t="n">
        <v>100.79</v>
      </c>
      <c r="C31" s="11" t="n">
        <v>112.962</v>
      </c>
      <c r="D31" s="11" t="n">
        <v>-3.037</v>
      </c>
      <c r="E31" s="11" t="n">
        <v>-0.474</v>
      </c>
      <c r="F31" s="11" t="n">
        <v>35.02</v>
      </c>
      <c r="G31" s="11" t="n">
        <v>36.402</v>
      </c>
      <c r="H31" s="11" t="n">
        <v>-7.244</v>
      </c>
      <c r="I31" s="11" t="n">
        <v>-1.006</v>
      </c>
    </row>
    <row r="32">
      <c r="A32" s="8" t="n">
        <v>43160</v>
      </c>
      <c r="B32" s="9" t="n">
        <v>97.169</v>
      </c>
      <c r="C32" s="9" t="n">
        <v>113.268</v>
      </c>
      <c r="D32" s="9" t="n">
        <v>-5.454</v>
      </c>
      <c r="E32" s="9" t="n">
        <v>-26.177</v>
      </c>
      <c r="F32" s="9" t="n">
        <v>33.722</v>
      </c>
      <c r="G32" s="9" t="n">
        <v>36.403</v>
      </c>
      <c r="H32" s="9" t="n">
        <v>-13.833</v>
      </c>
      <c r="I32" s="9" t="n">
        <v>-14.308</v>
      </c>
    </row>
    <row r="33">
      <c r="A33" s="10" t="n">
        <v>43191</v>
      </c>
      <c r="B33" s="11" t="n">
        <v>111.651</v>
      </c>
      <c r="C33" s="11" t="n">
        <v>113.638</v>
      </c>
      <c r="D33" s="11" t="n">
        <v>-1.78</v>
      </c>
      <c r="E33" s="11" t="n">
        <v>-9.962</v>
      </c>
      <c r="F33" s="11" t="n">
        <v>36.544</v>
      </c>
      <c r="G33" s="11" t="n">
        <v>36.417</v>
      </c>
      <c r="H33" s="11" t="n">
        <v>-0.053</v>
      </c>
      <c r="I33" s="11" t="n">
        <v>-13.354</v>
      </c>
    </row>
    <row r="34">
      <c r="A34" s="8" t="n">
        <v>43221</v>
      </c>
      <c r="B34" s="9" t="n">
        <v>116.303</v>
      </c>
      <c r="C34" s="9" t="n">
        <v>113.943</v>
      </c>
      <c r="D34" s="9" t="n">
        <v>4.762</v>
      </c>
      <c r="E34" s="9" t="n">
        <v>15.026</v>
      </c>
      <c r="F34" s="9" t="n">
        <v>37.139</v>
      </c>
      <c r="G34" s="9" t="n">
        <v>36.44</v>
      </c>
      <c r="H34" s="9" t="n">
        <v>-0.92</v>
      </c>
      <c r="I34" s="9" t="n">
        <v>-0.8090000000000001</v>
      </c>
    </row>
    <row r="35">
      <c r="A35" s="10" t="n">
        <v>43252</v>
      </c>
      <c r="B35" s="11" t="n">
        <v>114.813</v>
      </c>
      <c r="C35" s="11" t="n">
        <v>114.115</v>
      </c>
      <c r="D35" s="11" t="n">
        <v>3.766</v>
      </c>
      <c r="E35" s="11" t="n">
        <v>73.691</v>
      </c>
      <c r="F35" s="11" t="n">
        <v>36.33</v>
      </c>
      <c r="G35" s="11" t="n">
        <v>36.465</v>
      </c>
      <c r="H35" s="11" t="n">
        <v>-2.575</v>
      </c>
      <c r="I35" s="11" t="n">
        <v>21.367</v>
      </c>
    </row>
    <row r="36">
      <c r="A36" s="8" t="n">
        <v>43282</v>
      </c>
      <c r="B36" s="9" t="n">
        <v>117.394</v>
      </c>
      <c r="C36" s="9" t="n">
        <v>114.21</v>
      </c>
      <c r="D36" s="9" t="n">
        <v>6.854</v>
      </c>
      <c r="E36" s="9" t="n">
        <v>60.548</v>
      </c>
      <c r="F36" s="9" t="n">
        <v>37.034</v>
      </c>
      <c r="G36" s="9" t="n">
        <v>36.481</v>
      </c>
      <c r="H36" s="9" t="n">
        <v>1.978</v>
      </c>
      <c r="I36" s="9" t="n">
        <v>21.341</v>
      </c>
    </row>
    <row r="37">
      <c r="A37" s="10" t="n">
        <v>43313</v>
      </c>
      <c r="B37" s="11" t="n">
        <v>116.71</v>
      </c>
      <c r="C37" s="11" t="n">
        <v>114.289</v>
      </c>
      <c r="D37" s="11" t="n">
        <v>7.543</v>
      </c>
      <c r="E37" s="11" t="n">
        <v>32.647</v>
      </c>
      <c r="F37" s="11" t="n">
        <v>37.252</v>
      </c>
      <c r="G37" s="11" t="n">
        <v>36.485</v>
      </c>
      <c r="H37" s="11" t="n">
        <v>2.775</v>
      </c>
      <c r="I37" s="11" t="n">
        <v>12.505</v>
      </c>
    </row>
    <row r="38">
      <c r="A38" s="8" t="n">
        <v>43344</v>
      </c>
      <c r="B38" s="9" t="n">
        <v>114.377</v>
      </c>
      <c r="C38" s="9" t="n">
        <v>114.362</v>
      </c>
      <c r="D38" s="9" t="n">
        <v>9.205</v>
      </c>
      <c r="E38" s="9" t="n">
        <v>6.836</v>
      </c>
      <c r="F38" s="9" t="n">
        <v>36.059</v>
      </c>
      <c r="G38" s="9" t="n">
        <v>36.475</v>
      </c>
      <c r="H38" s="9" t="n">
        <v>1.603</v>
      </c>
      <c r="I38" s="9" t="n">
        <v>1.214</v>
      </c>
    </row>
    <row r="39">
      <c r="A39" s="10" t="n">
        <v>43374</v>
      </c>
      <c r="B39" s="11" t="n">
        <v>113.586</v>
      </c>
      <c r="C39" s="11" t="n">
        <v>114.422</v>
      </c>
      <c r="D39" s="11" t="n">
        <v>8.289999999999999</v>
      </c>
      <c r="E39" s="11" t="n">
        <v>-4.332</v>
      </c>
      <c r="F39" s="11" t="n">
        <v>36.398</v>
      </c>
      <c r="G39" s="11" t="n">
        <v>36.449</v>
      </c>
      <c r="H39" s="11" t="n">
        <v>1.433</v>
      </c>
      <c r="I39" s="11" t="n">
        <v>-2.843</v>
      </c>
    </row>
    <row r="40">
      <c r="A40" s="8" t="n">
        <v>43405</v>
      </c>
      <c r="B40" s="9" t="n">
        <v>112.875</v>
      </c>
      <c r="C40" s="9" t="n">
        <v>114.469</v>
      </c>
      <c r="D40" s="9" t="n">
        <v>7.82</v>
      </c>
      <c r="E40" s="9" t="n">
        <v>-8.945</v>
      </c>
      <c r="F40" s="9" t="n">
        <v>35.958</v>
      </c>
      <c r="G40" s="9" t="n">
        <v>36.402</v>
      </c>
      <c r="H40" s="9" t="n">
        <v>-1.548</v>
      </c>
      <c r="I40" s="9" t="n">
        <v>-7.728</v>
      </c>
    </row>
    <row r="41">
      <c r="A41" s="10" t="n">
        <v>43435</v>
      </c>
      <c r="B41" s="11" t="n">
        <v>113.353</v>
      </c>
      <c r="C41" s="11" t="n">
        <v>114.52</v>
      </c>
      <c r="D41" s="11" t="n">
        <v>0.728</v>
      </c>
      <c r="E41" s="11" t="n">
        <v>-9.583</v>
      </c>
      <c r="F41" s="11" t="n">
        <v>34.628</v>
      </c>
      <c r="G41" s="11" t="n">
        <v>36.339</v>
      </c>
      <c r="H41" s="11" t="n">
        <v>-5.212</v>
      </c>
      <c r="I41" s="11" t="n">
        <v>-11.64</v>
      </c>
    </row>
    <row r="42">
      <c r="A42" s="8" t="n">
        <v>43466</v>
      </c>
      <c r="B42" s="9" t="n">
        <v>114.214</v>
      </c>
      <c r="C42" s="9" t="n">
        <v>114.583</v>
      </c>
      <c r="D42" s="9" t="n">
        <v>13.514</v>
      </c>
      <c r="E42" s="9" t="n">
        <v>-4.819</v>
      </c>
      <c r="F42" s="9" t="n">
        <v>37.155</v>
      </c>
      <c r="G42" s="9" t="n">
        <v>36.268</v>
      </c>
      <c r="H42" s="9" t="n">
        <v>3.004</v>
      </c>
      <c r="I42" s="9" t="n">
        <v>-6.982</v>
      </c>
    </row>
    <row r="43">
      <c r="A43" s="10" t="n">
        <v>43497</v>
      </c>
      <c r="B43" s="11" t="n">
        <v>114.11</v>
      </c>
      <c r="C43" s="11" t="n">
        <v>114.674</v>
      </c>
      <c r="D43" s="11" t="n">
        <v>13.215</v>
      </c>
      <c r="E43" s="11" t="n">
        <v>0.989</v>
      </c>
      <c r="F43" s="11" t="n">
        <v>37.516</v>
      </c>
      <c r="G43" s="11" t="n">
        <v>36.194</v>
      </c>
      <c r="H43" s="11" t="n">
        <v>7.128</v>
      </c>
      <c r="I43" s="11" t="n">
        <v>3.307</v>
      </c>
    </row>
    <row r="44">
      <c r="A44" s="8" t="n">
        <v>43525</v>
      </c>
      <c r="B44" s="9" t="n">
        <v>114.439</v>
      </c>
      <c r="C44" s="9" t="n">
        <v>114.811</v>
      </c>
      <c r="D44" s="9" t="n">
        <v>17.774</v>
      </c>
      <c r="E44" s="9" t="n">
        <v>3.517</v>
      </c>
      <c r="F44" s="9" t="n">
        <v>36.035</v>
      </c>
      <c r="G44" s="9" t="n">
        <v>36.119</v>
      </c>
      <c r="H44" s="9" t="n">
        <v>6.859</v>
      </c>
      <c r="I44" s="9" t="n">
        <v>14.662</v>
      </c>
    </row>
    <row r="45">
      <c r="A45" s="10" t="n">
        <v>43556</v>
      </c>
      <c r="B45" s="11" t="n">
        <v>115.501</v>
      </c>
      <c r="C45" s="11" t="n">
        <v>115.006</v>
      </c>
      <c r="D45" s="11" t="n">
        <v>3.448</v>
      </c>
      <c r="E45" s="11" t="n">
        <v>4.306</v>
      </c>
      <c r="F45" s="11" t="n">
        <v>35.782</v>
      </c>
      <c r="G45" s="11" t="n">
        <v>36.04</v>
      </c>
      <c r="H45" s="11" t="n">
        <v>-2.085</v>
      </c>
      <c r="I45" s="11" t="n">
        <v>6.042</v>
      </c>
    </row>
    <row r="46">
      <c r="A46" s="8" t="n">
        <v>43586</v>
      </c>
      <c r="B46" s="9" t="n">
        <v>115.074</v>
      </c>
      <c r="C46" s="9" t="n">
        <v>115.249</v>
      </c>
      <c r="D46" s="9" t="n">
        <v>-1.057</v>
      </c>
      <c r="E46" s="9" t="n">
        <v>3.964</v>
      </c>
      <c r="F46" s="9" t="n">
        <v>36.073</v>
      </c>
      <c r="G46" s="9" t="n">
        <v>35.956</v>
      </c>
      <c r="H46" s="9" t="n">
        <v>-2.87</v>
      </c>
      <c r="I46" s="9" t="n">
        <v>-5.059</v>
      </c>
    </row>
    <row r="47">
      <c r="A47" s="10" t="n">
        <v>43617</v>
      </c>
      <c r="B47" s="11" t="n">
        <v>116.167</v>
      </c>
      <c r="C47" s="11" t="n">
        <v>115.523</v>
      </c>
      <c r="D47" s="11" t="n">
        <v>1.179</v>
      </c>
      <c r="E47" s="11" t="n">
        <v>4.725</v>
      </c>
      <c r="F47" s="11" t="n">
        <v>35.802</v>
      </c>
      <c r="G47" s="11" t="n">
        <v>35.863</v>
      </c>
      <c r="H47" s="11" t="n">
        <v>-1.452</v>
      </c>
      <c r="I47" s="11" t="n">
        <v>-10.57</v>
      </c>
    </row>
    <row r="48">
      <c r="A48" s="8" t="n">
        <v>43647</v>
      </c>
      <c r="B48" s="9" t="n">
        <v>113.803</v>
      </c>
      <c r="C48" s="9" t="n">
        <v>115.816</v>
      </c>
      <c r="D48" s="9" t="n">
        <v>-3.059</v>
      </c>
      <c r="E48" s="9" t="n">
        <v>1.161</v>
      </c>
      <c r="F48" s="9" t="n">
        <v>35.83</v>
      </c>
      <c r="G48" s="9" t="n">
        <v>35.756</v>
      </c>
      <c r="H48" s="9" t="n">
        <v>-3.251</v>
      </c>
      <c r="I48" s="9" t="n">
        <v>-5.825</v>
      </c>
    </row>
    <row r="49">
      <c r="A49" s="10" t="n">
        <v>43678</v>
      </c>
      <c r="B49" s="11" t="n">
        <v>115.893</v>
      </c>
      <c r="C49" s="11" t="n">
        <v>116.114</v>
      </c>
      <c r="D49" s="11" t="n">
        <v>-0.7</v>
      </c>
      <c r="E49" s="11" t="n">
        <v>0.988</v>
      </c>
      <c r="F49" s="11" t="n">
        <v>35.556</v>
      </c>
      <c r="G49" s="11" t="n">
        <v>35.627</v>
      </c>
      <c r="H49" s="11" t="n">
        <v>-4.554</v>
      </c>
      <c r="I49" s="11" t="n">
        <v>-2.577</v>
      </c>
    </row>
    <row r="50">
      <c r="A50" s="8" t="n">
        <v>43709</v>
      </c>
      <c r="B50" s="9" t="n">
        <v>116.045</v>
      </c>
      <c r="C50" s="9" t="n">
        <v>116.405</v>
      </c>
      <c r="D50" s="9" t="n">
        <v>1.458</v>
      </c>
      <c r="E50" s="9" t="n">
        <v>-1.15</v>
      </c>
      <c r="F50" s="9" t="n">
        <v>35.745</v>
      </c>
      <c r="G50" s="9" t="n">
        <v>35.481</v>
      </c>
      <c r="H50" s="9" t="n">
        <v>-0.871</v>
      </c>
      <c r="I50" s="9" t="n">
        <v>-1.942</v>
      </c>
    </row>
    <row r="51">
      <c r="A51" s="10" t="n">
        <v>43739</v>
      </c>
      <c r="B51" s="11" t="n">
        <v>117.272</v>
      </c>
      <c r="C51" s="11" t="n">
        <v>116.688</v>
      </c>
      <c r="D51" s="11" t="n">
        <v>3.246</v>
      </c>
      <c r="E51" s="11" t="n">
        <v>4.918</v>
      </c>
      <c r="F51" s="11" t="n">
        <v>35.775</v>
      </c>
      <c r="G51" s="11" t="n">
        <v>35.326</v>
      </c>
      <c r="H51" s="11" t="n">
        <v>-1.709</v>
      </c>
      <c r="I51" s="11" t="n">
        <v>-2.316</v>
      </c>
    </row>
    <row r="52">
      <c r="A52" s="8" t="n">
        <v>43770</v>
      </c>
      <c r="B52" s="9" t="n">
        <v>118.562</v>
      </c>
      <c r="C52" s="9" t="n">
        <v>116.971</v>
      </c>
      <c r="D52" s="9" t="n">
        <v>5.038</v>
      </c>
      <c r="E52" s="9" t="n">
        <v>7.142</v>
      </c>
      <c r="F52" s="9" t="n">
        <v>35.333</v>
      </c>
      <c r="G52" s="9" t="n">
        <v>35.164</v>
      </c>
      <c r="H52" s="9" t="n">
        <v>-1.738</v>
      </c>
      <c r="I52" s="9" t="n">
        <v>-1.246</v>
      </c>
    </row>
    <row r="53">
      <c r="A53" s="10" t="n">
        <v>43800</v>
      </c>
      <c r="B53" s="11" t="n">
        <v>117.93</v>
      </c>
      <c r="C53" s="11" t="n">
        <v>117.237</v>
      </c>
      <c r="D53" s="11" t="n">
        <v>4.037</v>
      </c>
      <c r="E53" s="11" t="n">
        <v>9.611000000000001</v>
      </c>
      <c r="F53" s="11" t="n">
        <v>35.183</v>
      </c>
      <c r="G53" s="11" t="n">
        <v>34.996</v>
      </c>
      <c r="H53" s="11" t="n">
        <v>1.602</v>
      </c>
      <c r="I53" s="11" t="n">
        <v>-3.097</v>
      </c>
    </row>
    <row r="54">
      <c r="A54" s="8" t="n">
        <v>43831</v>
      </c>
      <c r="B54" s="9" t="n">
        <v>117.031</v>
      </c>
      <c r="C54" s="9" t="n">
        <v>117.284</v>
      </c>
      <c r="D54" s="9" t="n">
        <v>2.466</v>
      </c>
      <c r="E54" s="9" t="n">
        <v>5.032</v>
      </c>
      <c r="F54" s="9" t="n">
        <v>34.611</v>
      </c>
      <c r="G54" s="9" t="n">
        <v>34.838</v>
      </c>
      <c r="H54" s="9" t="n">
        <v>-6.849</v>
      </c>
      <c r="I54" s="9" t="n">
        <v>-7.085</v>
      </c>
    </row>
    <row r="55">
      <c r="A55" s="10" t="n">
        <v>43862</v>
      </c>
      <c r="B55" s="11" t="n">
        <v>117.001</v>
      </c>
      <c r="C55" s="11" t="n">
        <v>116.692</v>
      </c>
      <c r="D55" s="11" t="n">
        <v>2.534</v>
      </c>
      <c r="E55" s="11" t="n">
        <v>0.094</v>
      </c>
      <c r="F55" s="11" t="n">
        <v>34.89</v>
      </c>
      <c r="G55" s="11" t="n">
        <v>34.706</v>
      </c>
      <c r="H55" s="11" t="n">
        <v>-6.999</v>
      </c>
      <c r="I55" s="11" t="n">
        <v>-7.876</v>
      </c>
    </row>
    <row r="56">
      <c r="A56" s="8" t="n">
        <v>43891</v>
      </c>
      <c r="B56" s="9" t="n">
        <v>108.776</v>
      </c>
      <c r="C56" s="9" t="n">
        <v>115.81</v>
      </c>
      <c r="D56" s="9" t="n">
        <v>-4.949</v>
      </c>
      <c r="E56" s="9" t="n">
        <v>-11.824</v>
      </c>
      <c r="F56" s="9" t="n">
        <v>33.874</v>
      </c>
      <c r="G56" s="9" t="n">
        <v>34.592</v>
      </c>
      <c r="H56" s="9" t="n">
        <v>-5.997</v>
      </c>
      <c r="I56" s="9" t="n">
        <v>-10.532</v>
      </c>
    </row>
    <row r="57">
      <c r="A57" s="10" t="n">
        <v>43922</v>
      </c>
      <c r="B57" s="11" t="n">
        <v>80.90600000000001</v>
      </c>
      <c r="C57" s="11" t="n">
        <v>115.153</v>
      </c>
      <c r="D57" s="11" t="n">
        <v>-29.952</v>
      </c>
      <c r="E57" s="11" t="n">
        <v>-43.364</v>
      </c>
      <c r="F57" s="11" t="n">
        <v>27.965</v>
      </c>
      <c r="G57" s="11" t="n">
        <v>34.478</v>
      </c>
      <c r="H57" s="11" t="n">
        <v>-21.846</v>
      </c>
      <c r="I57" s="11" t="n">
        <v>-28.323</v>
      </c>
    </row>
    <row r="58">
      <c r="A58" s="8" t="n">
        <v>43952</v>
      </c>
      <c r="B58" s="9" t="n">
        <v>83.64700000000001</v>
      </c>
      <c r="C58" s="9" t="n">
        <v>114.684</v>
      </c>
      <c r="D58" s="9" t="n">
        <v>-27.31</v>
      </c>
      <c r="E58" s="9" t="n">
        <v>-63.628</v>
      </c>
      <c r="F58" s="9" t="n">
        <v>27.882</v>
      </c>
      <c r="G58" s="9" t="n">
        <v>34.364</v>
      </c>
      <c r="H58" s="9" t="n">
        <v>-22.707</v>
      </c>
      <c r="I58" s="9" t="n">
        <v>-46.042</v>
      </c>
    </row>
    <row r="59">
      <c r="A59" s="10" t="n">
        <v>43983</v>
      </c>
      <c r="B59" s="11" t="n">
        <v>93.41200000000001</v>
      </c>
      <c r="C59" s="11" t="n">
        <v>114.387</v>
      </c>
      <c r="D59" s="11" t="n">
        <v>-19.588</v>
      </c>
      <c r="E59" s="11" t="n">
        <v>-67.934</v>
      </c>
      <c r="F59" s="11" t="n">
        <v>31.063</v>
      </c>
      <c r="G59" s="11" t="n">
        <v>34.258</v>
      </c>
      <c r="H59" s="11" t="n">
        <v>-13.236</v>
      </c>
      <c r="I59" s="11" t="n">
        <v>-50.041</v>
      </c>
    </row>
    <row r="60">
      <c r="A60" s="8" t="n">
        <v>44013</v>
      </c>
      <c r="B60" s="9" t="n">
        <v>101.199</v>
      </c>
      <c r="C60" s="9" t="n">
        <v>114.227</v>
      </c>
      <c r="D60" s="9" t="n">
        <v>-11.075</v>
      </c>
      <c r="E60" s="9" t="n">
        <v>-32.231</v>
      </c>
      <c r="F60" s="9" t="n">
        <v>31.818</v>
      </c>
      <c r="G60" s="9" t="n">
        <v>34.158</v>
      </c>
      <c r="H60" s="9" t="n">
        <v>-11.197</v>
      </c>
      <c r="I60" s="9" t="n">
        <v>-22.482</v>
      </c>
    </row>
    <row r="61">
      <c r="A61" s="10" t="n">
        <v>44044</v>
      </c>
      <c r="B61" s="11" t="n">
        <v>106.488</v>
      </c>
      <c r="C61" s="11" t="n">
        <v>114.085</v>
      </c>
      <c r="D61" s="11" t="n">
        <v>-8.115</v>
      </c>
      <c r="E61" s="11" t="n">
        <v>47.263</v>
      </c>
      <c r="F61" s="11" t="n">
        <v>32.541</v>
      </c>
      <c r="G61" s="11" t="n">
        <v>34.065</v>
      </c>
      <c r="H61" s="11" t="n">
        <v>-8.478999999999999</v>
      </c>
      <c r="I61" s="11" t="n">
        <v>27.948</v>
      </c>
    </row>
    <row r="62">
      <c r="A62" s="8" t="n">
        <v>44075</v>
      </c>
      <c r="B62" s="9" t="n">
        <v>107.588</v>
      </c>
      <c r="C62" s="9" t="n">
        <v>113.784</v>
      </c>
      <c r="D62" s="9" t="n">
        <v>-7.287</v>
      </c>
      <c r="E62" s="9" t="n">
        <v>123.105</v>
      </c>
      <c r="F62" s="9" t="n">
        <v>33.748</v>
      </c>
      <c r="G62" s="9" t="n">
        <v>33.979</v>
      </c>
      <c r="H62" s="9" t="n">
        <v>-5.586</v>
      </c>
      <c r="I62" s="9" t="n">
        <v>62.378</v>
      </c>
    </row>
    <row r="63">
      <c r="A63" s="10" t="n">
        <v>44105</v>
      </c>
      <c r="B63" s="11" t="n">
        <v>109.592</v>
      </c>
      <c r="C63" s="11" t="n">
        <v>113.101</v>
      </c>
      <c r="D63" s="11" t="n">
        <v>-6.549</v>
      </c>
      <c r="E63" s="11" t="n">
        <v>83.06699999999999</v>
      </c>
      <c r="F63" s="11" t="n">
        <v>34.064</v>
      </c>
      <c r="G63" s="11" t="n">
        <v>33.902</v>
      </c>
      <c r="H63" s="11" t="n">
        <v>-4.783</v>
      </c>
      <c r="I63" s="11" t="n">
        <v>49.448</v>
      </c>
    </row>
    <row r="64">
      <c r="A64" s="8" t="n">
        <v>44136</v>
      </c>
      <c r="B64" s="9" t="n">
        <v>110.501</v>
      </c>
      <c r="C64" s="9" t="n">
        <v>112.103</v>
      </c>
      <c r="D64" s="9" t="n">
        <v>-6.799</v>
      </c>
      <c r="E64" s="9" t="n">
        <v>40.272</v>
      </c>
      <c r="F64" s="9" t="n">
        <v>33.671</v>
      </c>
      <c r="G64" s="9" t="n">
        <v>33.848</v>
      </c>
      <c r="H64" s="9" t="n">
        <v>-4.705</v>
      </c>
      <c r="I64" s="9" t="n">
        <v>27.927</v>
      </c>
    </row>
    <row r="65">
      <c r="A65" s="10" t="n">
        <v>44166</v>
      </c>
      <c r="B65" s="11" t="n">
        <v>112.4</v>
      </c>
      <c r="C65" s="11" t="n">
        <v>111.835</v>
      </c>
      <c r="D65" s="11" t="n">
        <v>-4.689</v>
      </c>
      <c r="E65" s="11" t="n">
        <v>23.701</v>
      </c>
      <c r="F65" s="11" t="n">
        <v>34.119</v>
      </c>
      <c r="G65" s="11" t="n">
        <v>33.833</v>
      </c>
      <c r="H65" s="11" t="n">
        <v>-3.025</v>
      </c>
      <c r="I65" s="11" t="n">
        <v>16.173</v>
      </c>
    </row>
    <row r="66">
      <c r="A66" s="8" t="n">
        <v>44197</v>
      </c>
      <c r="B66" s="9" t="n">
        <v>106.863</v>
      </c>
      <c r="C66" s="9" t="n">
        <v>112.542</v>
      </c>
      <c r="D66" s="9" t="n">
        <v>-8.688000000000001</v>
      </c>
      <c r="E66" s="9" t="n">
        <v>7.749</v>
      </c>
      <c r="F66" s="9" t="n">
        <v>31.386</v>
      </c>
      <c r="G66" s="9" t="n">
        <v>33.847</v>
      </c>
      <c r="H66" s="9" t="n">
        <v>-9.317</v>
      </c>
      <c r="I66" s="9" t="n">
        <v>-4.612</v>
      </c>
    </row>
    <row r="67">
      <c r="A67" s="10" t="n">
        <v>44228</v>
      </c>
      <c r="B67" s="11" t="n">
        <v>109.739</v>
      </c>
      <c r="C67" s="11" t="n">
        <v>113.422</v>
      </c>
      <c r="D67" s="11" t="n">
        <v>-6.207</v>
      </c>
      <c r="E67" s="11" t="n">
        <v>1.622</v>
      </c>
      <c r="F67" s="11" t="n">
        <v>33.481</v>
      </c>
      <c r="G67" s="11" t="n">
        <v>33.873</v>
      </c>
      <c r="H67" s="11" t="n">
        <v>-4.039</v>
      </c>
      <c r="I67" s="11" t="n">
        <v>-9.483000000000001</v>
      </c>
    </row>
    <row r="68">
      <c r="A68" s="8" t="n">
        <v>44256</v>
      </c>
      <c r="B68" s="9" t="n">
        <v>114.171</v>
      </c>
      <c r="C68" s="9" t="n">
        <v>114.306</v>
      </c>
      <c r="D68" s="9" t="n">
        <v>4.96</v>
      </c>
      <c r="E68" s="9" t="n">
        <v>-2.052</v>
      </c>
      <c r="F68" s="9" t="n">
        <v>34.7</v>
      </c>
      <c r="G68" s="9" t="n">
        <v>33.913</v>
      </c>
      <c r="H68" s="9" t="n">
        <v>2.437</v>
      </c>
      <c r="I68" s="9" t="n">
        <v>-8.683</v>
      </c>
    </row>
    <row r="69">
      <c r="A69" s="10" t="n">
        <v>44287</v>
      </c>
      <c r="B69" s="11" t="n">
        <v>115.216</v>
      </c>
      <c r="C69" s="11" t="n">
        <v>115.21</v>
      </c>
      <c r="D69" s="11" t="n">
        <v>42.406</v>
      </c>
      <c r="E69" s="11" t="n">
        <v>11.848</v>
      </c>
      <c r="F69" s="11" t="n">
        <v>33.397</v>
      </c>
      <c r="G69" s="11" t="n">
        <v>33.968</v>
      </c>
      <c r="H69" s="11" t="n">
        <v>19.423</v>
      </c>
      <c r="I69" s="11" t="n">
        <v>10.045</v>
      </c>
    </row>
    <row r="70">
      <c r="A70" s="8" t="n">
        <v>44317</v>
      </c>
      <c r="B70" s="9" t="n">
        <v>116.545</v>
      </c>
      <c r="C70" s="9" t="n">
        <v>116.133</v>
      </c>
      <c r="D70" s="9" t="n">
        <v>39.33</v>
      </c>
      <c r="E70" s="9" t="n">
        <v>22.227</v>
      </c>
      <c r="F70" s="9" t="n">
        <v>33.85</v>
      </c>
      <c r="G70" s="9" t="n">
        <v>34.041</v>
      </c>
      <c r="H70" s="9" t="n">
        <v>21.406</v>
      </c>
      <c r="I70" s="9" t="n">
        <v>12.511</v>
      </c>
    </row>
    <row r="71">
      <c r="A71" s="10" t="n">
        <v>44348</v>
      </c>
      <c r="B71" s="11" t="n">
        <v>116.651</v>
      </c>
      <c r="C71" s="11" t="n">
        <v>117.068</v>
      </c>
      <c r="D71" s="11" t="n">
        <v>24.877</v>
      </c>
      <c r="E71" s="11" t="n">
        <v>23.097</v>
      </c>
      <c r="F71" s="11" t="n">
        <v>34.114</v>
      </c>
      <c r="G71" s="11" t="n">
        <v>34.143</v>
      </c>
      <c r="H71" s="11" t="n">
        <v>9.82</v>
      </c>
      <c r="I71" s="11" t="n">
        <v>7.403</v>
      </c>
    </row>
    <row r="72">
      <c r="A72" s="8" t="n">
        <v>44378</v>
      </c>
      <c r="B72" s="9" t="n">
        <v>119.552</v>
      </c>
      <c r="C72" s="9" t="n">
        <v>118.015</v>
      </c>
      <c r="D72" s="9" t="n">
        <v>18.136</v>
      </c>
      <c r="E72" s="9" t="n">
        <v>17.062</v>
      </c>
      <c r="F72" s="9" t="n">
        <v>33.993</v>
      </c>
      <c r="G72" s="9" t="n">
        <v>34.283</v>
      </c>
      <c r="H72" s="9" t="n">
        <v>6.835</v>
      </c>
      <c r="I72" s="9" t="n">
        <v>1.501</v>
      </c>
    </row>
    <row r="73">
      <c r="A73" s="10" t="n">
        <v>44409</v>
      </c>
      <c r="B73" s="11" t="n">
        <v>117.543</v>
      </c>
      <c r="C73" s="11" t="n">
        <v>118.97</v>
      </c>
      <c r="D73" s="11" t="n">
        <v>10.381</v>
      </c>
      <c r="E73" s="11" t="n">
        <v>9.346</v>
      </c>
      <c r="F73" s="11" t="n">
        <v>33.669</v>
      </c>
      <c r="G73" s="11" t="n">
        <v>34.468</v>
      </c>
      <c r="H73" s="11" t="n">
        <v>3.465</v>
      </c>
      <c r="I73" s="11" t="n">
        <v>-0.671</v>
      </c>
    </row>
    <row r="74">
      <c r="A74" s="8" t="n">
        <v>44440</v>
      </c>
      <c r="B74" s="9" t="n">
        <v>118.685</v>
      </c>
      <c r="C74" s="9" t="n">
        <v>119.918</v>
      </c>
      <c r="D74" s="9" t="n">
        <v>10.314</v>
      </c>
      <c r="E74" s="9" t="n">
        <v>8.731</v>
      </c>
      <c r="F74" s="9" t="n">
        <v>33.991</v>
      </c>
      <c r="G74" s="9" t="n">
        <v>34.703</v>
      </c>
      <c r="H74" s="9" t="n">
        <v>0.72</v>
      </c>
      <c r="I74" s="9" t="n">
        <v>1.157</v>
      </c>
    </row>
    <row r="75">
      <c r="A75" s="10" t="n">
        <v>44470</v>
      </c>
      <c r="B75" s="11" t="n">
        <v>121.343</v>
      </c>
      <c r="C75" s="11" t="n">
        <v>120.841</v>
      </c>
      <c r="D75" s="11" t="n">
        <v>10.722</v>
      </c>
      <c r="E75" s="11" t="n">
        <v>5.581</v>
      </c>
      <c r="F75" s="11" t="n">
        <v>34.047</v>
      </c>
      <c r="G75" s="11" t="n">
        <v>34.997</v>
      </c>
      <c r="H75" s="11" t="n">
        <v>-0.05</v>
      </c>
      <c r="I75" s="11" t="n">
        <v>-0.977</v>
      </c>
    </row>
    <row r="76">
      <c r="A76" s="8" t="n">
        <v>44501</v>
      </c>
      <c r="B76" s="9" t="n">
        <v>122.316</v>
      </c>
      <c r="C76" s="9" t="n">
        <v>121.739</v>
      </c>
      <c r="D76" s="9" t="n">
        <v>10.692</v>
      </c>
      <c r="E76" s="9" t="n">
        <v>10.082</v>
      </c>
      <c r="F76" s="9" t="n">
        <v>35.09</v>
      </c>
      <c r="G76" s="9" t="n">
        <v>35.348</v>
      </c>
      <c r="H76" s="9" t="n">
        <v>4.216</v>
      </c>
      <c r="I76" s="9" t="n">
        <v>5.424</v>
      </c>
    </row>
    <row r="77">
      <c r="A77" s="10" t="n">
        <v>44531</v>
      </c>
      <c r="B77" s="11" t="n">
        <v>124.573</v>
      </c>
      <c r="C77" s="11" t="n">
        <v>122.613</v>
      </c>
      <c r="D77" s="11" t="n">
        <v>10.831</v>
      </c>
      <c r="E77" s="11" t="n">
        <v>14.752</v>
      </c>
      <c r="F77" s="11" t="n">
        <v>35.502</v>
      </c>
      <c r="G77" s="11" t="n">
        <v>35.734</v>
      </c>
      <c r="H77" s="11" t="n">
        <v>4.054</v>
      </c>
      <c r="I77" s="11" t="n">
        <v>12.282</v>
      </c>
    </row>
    <row r="78">
      <c r="A78" s="8" t="n">
        <v>44562</v>
      </c>
      <c r="B78" s="9" t="n">
        <v>115.24</v>
      </c>
      <c r="C78" s="9" t="n">
        <v>123.465</v>
      </c>
      <c r="D78" s="9" t="n">
        <v>7.839</v>
      </c>
      <c r="E78" s="9" t="n">
        <v>5.198</v>
      </c>
      <c r="F78" s="9" t="n">
        <v>32.793</v>
      </c>
      <c r="G78" s="9" t="n">
        <v>36.132</v>
      </c>
      <c r="H78" s="9" t="n">
        <v>4.484</v>
      </c>
      <c r="I78" s="9" t="n">
        <v>6.769</v>
      </c>
    </row>
    <row r="79">
      <c r="A79" s="10" t="n">
        <v>44593</v>
      </c>
      <c r="B79" s="11" t="n">
        <v>123.05</v>
      </c>
      <c r="C79" s="11" t="n">
        <v>124.29</v>
      </c>
      <c r="D79" s="11" t="n">
        <v>12.13</v>
      </c>
      <c r="E79" s="11" t="n">
        <v>0.575</v>
      </c>
      <c r="F79" s="11" t="n">
        <v>35.526</v>
      </c>
      <c r="G79" s="11" t="n">
        <v>36.53</v>
      </c>
      <c r="H79" s="11" t="n">
        <v>6.107</v>
      </c>
      <c r="I79" s="11" t="n">
        <v>2.716</v>
      </c>
    </row>
    <row r="80">
      <c r="A80" s="8" t="n">
        <v>44621</v>
      </c>
      <c r="B80" s="9" t="n">
        <v>126.605</v>
      </c>
      <c r="C80" s="9" t="n">
        <v>125.075</v>
      </c>
      <c r="D80" s="9" t="n">
        <v>10.89</v>
      </c>
      <c r="E80" s="9" t="n">
        <v>-3.575</v>
      </c>
      <c r="F80" s="9" t="n">
        <v>37.602</v>
      </c>
      <c r="G80" s="9" t="n">
        <v>36.926</v>
      </c>
      <c r="H80" s="9" t="n">
        <v>8.362</v>
      </c>
      <c r="I80" s="9" t="n">
        <v>4.987</v>
      </c>
    </row>
    <row r="81">
      <c r="A81" s="10" t="n">
        <v>44652</v>
      </c>
      <c r="B81" s="11" t="n">
        <v>128.085</v>
      </c>
      <c r="C81" s="11" t="n">
        <v>125.816</v>
      </c>
      <c r="D81" s="11" t="n">
        <v>11.17</v>
      </c>
      <c r="E81" s="11" t="n">
        <v>18.391</v>
      </c>
      <c r="F81" s="11" t="n">
        <v>38.57</v>
      </c>
      <c r="G81" s="11" t="n">
        <v>37.323</v>
      </c>
      <c r="H81" s="11" t="n">
        <v>15.489</v>
      </c>
      <c r="I81" s="11" t="n">
        <v>36.245</v>
      </c>
    </row>
    <row r="82">
      <c r="A82" s="8" t="n">
        <v>44682</v>
      </c>
      <c r="B82" s="9" t="n">
        <v>127.327</v>
      </c>
      <c r="C82" s="9" t="n">
        <v>126.506</v>
      </c>
      <c r="D82" s="9" t="n">
        <v>9.250999999999999</v>
      </c>
      <c r="E82" s="9" t="n">
        <v>22.845</v>
      </c>
      <c r="F82" s="9" t="n">
        <v>40.833</v>
      </c>
      <c r="G82" s="9" t="n">
        <v>37.724</v>
      </c>
      <c r="H82" s="9" t="n">
        <v>20.629</v>
      </c>
      <c r="I82" s="9" t="n">
        <v>61.309</v>
      </c>
    </row>
    <row r="83">
      <c r="A83" s="10" t="n">
        <v>44713</v>
      </c>
      <c r="B83" s="11" t="n">
        <v>127.228</v>
      </c>
      <c r="C83" s="11" t="n">
        <v>127.13</v>
      </c>
      <c r="D83" s="11" t="n">
        <v>9.067</v>
      </c>
      <c r="E83" s="11" t="n">
        <v>20.917</v>
      </c>
      <c r="F83" s="11" t="n">
        <v>40.726</v>
      </c>
      <c r="G83" s="11" t="n">
        <v>38.119</v>
      </c>
      <c r="H83" s="11" t="n">
        <v>19.382</v>
      </c>
      <c r="I83" s="11" t="n">
        <v>65.44799999999999</v>
      </c>
    </row>
    <row r="84">
      <c r="A84" s="8" t="n">
        <v>44743</v>
      </c>
      <c r="B84" s="9" t="n">
        <v>127.25</v>
      </c>
      <c r="C84" s="9" t="n">
        <v>127.66</v>
      </c>
      <c r="D84" s="9" t="n">
        <v>6.439</v>
      </c>
      <c r="E84" s="9" t="n">
        <v>4.374</v>
      </c>
      <c r="F84" s="9" t="n">
        <v>39.001</v>
      </c>
      <c r="G84" s="9" t="n">
        <v>38.501</v>
      </c>
      <c r="H84" s="9" t="n">
        <v>14.734</v>
      </c>
      <c r="I84" s="9" t="n">
        <v>35.721</v>
      </c>
    </row>
    <row r="85">
      <c r="A85" s="10" t="n">
        <v>44774</v>
      </c>
      <c r="B85" s="11" t="n">
        <v>129.425</v>
      </c>
      <c r="C85" s="11" t="n">
        <v>128.085</v>
      </c>
      <c r="D85" s="11" t="n">
        <v>10.109</v>
      </c>
      <c r="E85" s="11" t="n">
        <v>1.989</v>
      </c>
      <c r="F85" s="11" t="n">
        <v>39.705</v>
      </c>
      <c r="G85" s="11" t="n">
        <v>38.853</v>
      </c>
      <c r="H85" s="11" t="n">
        <v>17.928</v>
      </c>
      <c r="I85" s="11" t="n">
        <v>8.561</v>
      </c>
    </row>
    <row r="86">
      <c r="A86" s="8" t="n">
        <v>44805</v>
      </c>
      <c r="B86" s="9" t="n">
        <v>129.305</v>
      </c>
      <c r="C86" s="9" t="n">
        <v>128.416</v>
      </c>
      <c r="D86" s="9" t="n">
        <v>8.949</v>
      </c>
      <c r="E86" s="9" t="n">
        <v>3.538</v>
      </c>
      <c r="F86" s="9" t="n">
        <v>39.681</v>
      </c>
      <c r="G86" s="9" t="n">
        <v>39.152</v>
      </c>
      <c r="H86" s="9" t="n">
        <v>16.739</v>
      </c>
      <c r="I86" s="9" t="n">
        <v>-5.674</v>
      </c>
    </row>
    <row r="87">
      <c r="A87" s="10" t="n">
        <v>44835</v>
      </c>
      <c r="B87" s="11" t="n">
        <v>129.91</v>
      </c>
      <c r="C87" s="11" t="n">
        <v>128.676</v>
      </c>
      <c r="D87" s="11" t="n">
        <v>7.06</v>
      </c>
      <c r="E87" s="11" t="n">
        <v>7.356</v>
      </c>
      <c r="F87" s="11" t="n">
        <v>39.69</v>
      </c>
      <c r="G87" s="11" t="n">
        <v>39.375</v>
      </c>
      <c r="H87" s="11" t="n">
        <v>16.573</v>
      </c>
      <c r="I87" s="11" t="n">
        <v>-4.836</v>
      </c>
    </row>
    <row r="88">
      <c r="A88" s="8" t="n">
        <v>44866</v>
      </c>
      <c r="B88" s="9" t="n">
        <v>129.452</v>
      </c>
      <c r="C88" s="9" t="n">
        <v>128.893</v>
      </c>
      <c r="D88" s="9" t="n">
        <v>5.835</v>
      </c>
      <c r="E88" s="9" t="n">
        <v>5.058</v>
      </c>
      <c r="F88" s="9" t="n">
        <v>40.118</v>
      </c>
      <c r="G88" s="9" t="n">
        <v>39.52</v>
      </c>
      <c r="H88" s="9" t="n">
        <v>14.33</v>
      </c>
      <c r="I88" s="9" t="n">
        <v>0.191</v>
      </c>
    </row>
    <row r="89">
      <c r="A89" s="10" t="n">
        <v>44896</v>
      </c>
      <c r="B89" s="11" t="n">
        <v>128.993</v>
      </c>
      <c r="C89" s="11" t="n">
        <v>129.088</v>
      </c>
      <c r="D89" s="11" t="n">
        <v>3.548</v>
      </c>
      <c r="E89" s="11" t="n">
        <v>2.484</v>
      </c>
      <c r="F89" s="11" t="n">
        <v>40.001</v>
      </c>
      <c r="G89" s="11" t="n">
        <v>39.606</v>
      </c>
      <c r="H89" s="11" t="n">
        <v>12.67</v>
      </c>
      <c r="I89" s="11" t="n">
        <v>4.891</v>
      </c>
    </row>
    <row r="90">
      <c r="A90" s="8" t="n">
        <v>44927</v>
      </c>
      <c r="B90" s="9" t="n">
        <v>129.316</v>
      </c>
      <c r="C90" s="9" t="n">
        <v>129.265</v>
      </c>
      <c r="D90" s="9" t="n">
        <v>12.214</v>
      </c>
      <c r="E90" s="9" t="n">
        <v>-0.901</v>
      </c>
      <c r="F90" s="9" t="n">
        <v>39.509</v>
      </c>
      <c r="G90" s="9" t="n">
        <v>39.642</v>
      </c>
      <c r="H90" s="9" t="n">
        <v>20.478</v>
      </c>
      <c r="I90" s="9" t="n">
        <v>1.869</v>
      </c>
    </row>
    <row r="91">
      <c r="A91" s="10" t="n">
        <v>44958</v>
      </c>
      <c r="B91" s="11" t="n">
        <v>130.968</v>
      </c>
      <c r="C91" s="11" t="n">
        <v>129.428</v>
      </c>
      <c r="D91" s="11" t="n">
        <v>6.434</v>
      </c>
      <c r="E91" s="11" t="n">
        <v>0.629</v>
      </c>
      <c r="F91" s="11" t="n">
        <v>40.036</v>
      </c>
      <c r="G91" s="11" t="n">
        <v>39.649</v>
      </c>
      <c r="H91" s="11" t="n">
        <v>12.697</v>
      </c>
      <c r="I91" s="11" t="n">
        <v>0.19</v>
      </c>
    </row>
    <row r="92">
      <c r="A92" s="8" t="n">
        <v>44986</v>
      </c>
      <c r="B92" s="9" t="n">
        <v>129.131</v>
      </c>
      <c r="C92" s="9" t="n">
        <v>129.573</v>
      </c>
      <c r="D92" s="9" t="n">
        <v>1.995</v>
      </c>
      <c r="E92" s="9" t="n">
        <v>1.095</v>
      </c>
      <c r="F92" s="9" t="n">
        <v>39.334</v>
      </c>
      <c r="G92" s="9" t="n">
        <v>39.644</v>
      </c>
      <c r="H92" s="9" t="n">
        <v>4.607</v>
      </c>
      <c r="I92" s="9" t="n">
        <v>-3.069</v>
      </c>
    </row>
    <row r="93">
      <c r="A93" s="10" t="n">
        <v>45017</v>
      </c>
      <c r="B93" s="11" t="n">
        <v>127.479</v>
      </c>
      <c r="C93" s="11" t="n">
        <v>129.701</v>
      </c>
      <c r="D93" s="11" t="n">
        <v>-0.473</v>
      </c>
      <c r="E93" s="11" t="n">
        <v>-0.19</v>
      </c>
      <c r="F93" s="11" t="n">
        <v>36.253</v>
      </c>
      <c r="G93" s="11" t="n">
        <v>39.633</v>
      </c>
      <c r="H93" s="11" t="n">
        <v>-6.008</v>
      </c>
      <c r="I93" s="11" t="n">
        <v>-12.734</v>
      </c>
    </row>
    <row r="94">
      <c r="A94" s="8" t="n">
        <v>45047</v>
      </c>
      <c r="B94" s="9" t="n">
        <v>127.607</v>
      </c>
      <c r="C94" s="9" t="n">
        <v>129.822</v>
      </c>
      <c r="D94" s="9" t="n">
        <v>0.22</v>
      </c>
      <c r="E94" s="9" t="n">
        <v>-5.099</v>
      </c>
      <c r="F94" s="9" t="n">
        <v>39.263</v>
      </c>
      <c r="G94" s="9" t="n">
        <v>39.618</v>
      </c>
      <c r="H94" s="9" t="n">
        <v>-3.844</v>
      </c>
      <c r="I94" s="9" t="n">
        <v>-14.81</v>
      </c>
    </row>
    <row r="95">
      <c r="A95" s="10" t="n">
        <v>45078</v>
      </c>
      <c r="B95" s="11" t="n">
        <v>130.793</v>
      </c>
      <c r="C95" s="11" t="n">
        <v>129.953</v>
      </c>
      <c r="D95" s="11" t="n">
        <v>2.803</v>
      </c>
      <c r="E95" s="11" t="n">
        <v>-3.582</v>
      </c>
      <c r="F95" s="11" t="n">
        <v>39.815</v>
      </c>
      <c r="G95" s="11" t="n">
        <v>39.6</v>
      </c>
      <c r="H95" s="11" t="n">
        <v>-2.237</v>
      </c>
      <c r="I95" s="11" t="n">
        <v>-11.415</v>
      </c>
    </row>
    <row r="96">
      <c r="A96" s="8" t="n">
        <v>45108</v>
      </c>
      <c r="B96" s="9" t="n">
        <v>130.553</v>
      </c>
      <c r="C96" s="9" t="n">
        <v>130.104</v>
      </c>
      <c r="D96" s="9" t="n">
        <v>2.595</v>
      </c>
      <c r="E96" s="9" t="n">
        <v>1.428</v>
      </c>
      <c r="F96" s="9" t="n">
        <v>38.853</v>
      </c>
      <c r="G96" s="9" t="n">
        <v>39.583</v>
      </c>
      <c r="H96" s="9" t="n">
        <v>-0.38</v>
      </c>
      <c r="I96" s="9" t="n">
        <v>8.228999999999999</v>
      </c>
    </row>
    <row r="97">
      <c r="A97" s="10" t="n">
        <v>45139</v>
      </c>
      <c r="B97" s="11" t="n">
        <v>129.539</v>
      </c>
      <c r="C97" s="11" t="n">
        <v>130.273</v>
      </c>
      <c r="D97" s="11" t="n">
        <v>0.08799999999999999</v>
      </c>
      <c r="E97" s="11" t="n">
        <v>7.126</v>
      </c>
      <c r="F97" s="11" t="n">
        <v>39.903</v>
      </c>
      <c r="G97" s="11" t="n">
        <v>39.57</v>
      </c>
      <c r="H97" s="11" t="n">
        <v>0.499</v>
      </c>
      <c r="I97" s="11" t="n">
        <v>13.603</v>
      </c>
    </row>
    <row r="98">
      <c r="A98" s="8" t="n">
        <v>45170</v>
      </c>
      <c r="B98" s="9" t="n">
        <v>132.43</v>
      </c>
      <c r="C98" s="9" t="n">
        <v>130.456</v>
      </c>
      <c r="D98" s="9" t="n">
        <v>2.416</v>
      </c>
      <c r="E98" s="9" t="n">
        <v>7.065</v>
      </c>
      <c r="F98" s="9" t="n">
        <v>40.397</v>
      </c>
      <c r="G98" s="9" t="n">
        <v>39.559</v>
      </c>
      <c r="H98" s="9" t="n">
        <v>1.804</v>
      </c>
      <c r="I98" s="9" t="n">
        <v>13.931</v>
      </c>
    </row>
    <row r="99">
      <c r="A99" s="10" t="n">
        <v>45200</v>
      </c>
      <c r="B99" s="11" t="n">
        <v>130.516</v>
      </c>
      <c r="C99" s="11" t="n">
        <v>130.647</v>
      </c>
      <c r="D99" s="11" t="n">
        <v>0.467</v>
      </c>
      <c r="E99" s="11" t="n">
        <v>3.682</v>
      </c>
      <c r="F99" s="11" t="n">
        <v>39.168</v>
      </c>
      <c r="G99" s="11" t="n">
        <v>39.55</v>
      </c>
      <c r="H99" s="11" t="n">
        <v>-1.314</v>
      </c>
      <c r="I99" s="11" t="n">
        <v>5.314</v>
      </c>
    </row>
    <row r="100">
      <c r="A100" s="8" t="n">
        <v>45231</v>
      </c>
      <c r="B100" s="9" t="n">
        <v>129.347</v>
      </c>
      <c r="C100" s="9" t="n">
        <v>130.837</v>
      </c>
      <c r="D100" s="9" t="n">
        <v>-0.081</v>
      </c>
      <c r="E100" s="9" t="n">
        <v>1.448</v>
      </c>
      <c r="F100" s="9" t="n">
        <v>39.173</v>
      </c>
      <c r="G100" s="9" t="n">
        <v>39.542</v>
      </c>
      <c r="H100" s="9" t="n">
        <v>-2.356</v>
      </c>
      <c r="I100" s="9" t="n">
        <v>0.5649999999999999</v>
      </c>
    </row>
    <row r="101">
      <c r="A101" s="10" t="n">
        <v>45261</v>
      </c>
      <c r="B101" s="11" t="n">
        <v>121.035</v>
      </c>
      <c r="C101" s="11" t="n">
        <v>131.013</v>
      </c>
      <c r="D101" s="11" t="n">
        <v>-6.169</v>
      </c>
      <c r="E101" s="11" t="n">
        <v>-11.329</v>
      </c>
      <c r="F101" s="11" t="n">
        <v>35.86</v>
      </c>
      <c r="G101" s="11" t="n">
        <v>39.526</v>
      </c>
      <c r="H101" s="11" t="n">
        <v>-10.351</v>
      </c>
      <c r="I101" s="11" t="n">
        <v>-15.614</v>
      </c>
    </row>
    <row r="102">
      <c r="A102" s="8" t="n">
        <v>45292</v>
      </c>
      <c r="B102" s="9" t="n">
        <v>131.518</v>
      </c>
      <c r="C102" s="9" t="n">
        <v>131.159</v>
      </c>
      <c r="D102" s="9" t="n">
        <v>1.703</v>
      </c>
      <c r="E102" s="9" t="n">
        <v>-10.359</v>
      </c>
      <c r="F102" s="9" t="n">
        <v>39.828</v>
      </c>
      <c r="G102" s="9" t="n">
        <v>39.499</v>
      </c>
      <c r="H102" s="9" t="n">
        <v>0.8070000000000001</v>
      </c>
      <c r="I102" s="9" t="n">
        <v>-14.554</v>
      </c>
    </row>
    <row r="103">
      <c r="A103" s="10" t="n">
        <v>45323</v>
      </c>
      <c r="B103" s="11" t="n">
        <v>132.7</v>
      </c>
      <c r="C103" s="11" t="n">
        <v>131.265</v>
      </c>
      <c r="D103" s="11" t="n">
        <v>1.323</v>
      </c>
      <c r="E103" s="11" t="n">
        <v>-6.987</v>
      </c>
      <c r="F103" s="11" t="n">
        <v>39.683</v>
      </c>
      <c r="G103" s="11" t="n">
        <v>39.46</v>
      </c>
      <c r="H103" s="11" t="n">
        <v>-0.883</v>
      </c>
      <c r="I103" s="11" t="n">
        <v>-10.871</v>
      </c>
    </row>
    <row r="104">
      <c r="A104" s="8" t="n">
        <v>45352</v>
      </c>
      <c r="B104" s="9" t="n">
        <v>131.191</v>
      </c>
      <c r="C104" s="9" t="n">
        <v>131.328</v>
      </c>
      <c r="D104" s="9" t="n">
        <v>1.596</v>
      </c>
      <c r="E104" s="9" t="n">
        <v>16.132</v>
      </c>
      <c r="F104" s="9" t="n">
        <v>37.285</v>
      </c>
      <c r="G104" s="9" t="n">
        <v>39.409</v>
      </c>
      <c r="H104" s="9" t="n">
        <v>-5.209</v>
      </c>
      <c r="I104" s="9" t="n">
        <v>9.398999999999999</v>
      </c>
    </row>
    <row r="105">
      <c r="A105" s="10" t="n">
        <v>45383</v>
      </c>
      <c r="B105" s="11" t="n">
        <v>132.375</v>
      </c>
      <c r="C105" s="11" t="n">
        <v>131.355</v>
      </c>
      <c r="D105" s="11" t="n">
        <v>3.841</v>
      </c>
      <c r="E105" s="11" t="n">
        <v>15.918</v>
      </c>
      <c r="F105" s="11" t="n">
        <v>39.702</v>
      </c>
      <c r="G105" s="11" t="n">
        <v>39.347</v>
      </c>
      <c r="H105" s="11" t="n">
        <v>9.516</v>
      </c>
      <c r="I105" s="11" t="n">
        <v>6.449</v>
      </c>
    </row>
    <row r="106">
      <c r="A106" s="8" t="n">
        <v>45413</v>
      </c>
      <c r="B106" s="9" t="n">
        <v>131.69</v>
      </c>
      <c r="C106" s="9" t="n">
        <v>131.353</v>
      </c>
      <c r="D106" s="9" t="n">
        <v>3.2</v>
      </c>
      <c r="E106" s="9" t="n">
        <v>10.797</v>
      </c>
      <c r="F106" s="9" t="n">
        <v>39.662</v>
      </c>
      <c r="G106" s="9" t="n">
        <v>39.277</v>
      </c>
      <c r="H106" s="9" t="n">
        <v>1.015</v>
      </c>
      <c r="I106" s="9" t="n">
        <v>4.509</v>
      </c>
    </row>
    <row r="107">
      <c r="A107" s="10" t="n">
        <v>45444</v>
      </c>
      <c r="B107" s="11" t="n">
        <v>132.054</v>
      </c>
      <c r="C107" s="11" t="n">
        <v>131.322</v>
      </c>
      <c r="D107" s="11" t="n">
        <v>0.964</v>
      </c>
      <c r="E107" s="11" t="n">
        <v>0.72</v>
      </c>
      <c r="F107" s="11" t="n">
        <v>38.89</v>
      </c>
      <c r="G107" s="11" t="n">
        <v>39.199</v>
      </c>
      <c r="H107" s="11" t="n">
        <v>-2.321</v>
      </c>
      <c r="I107" s="11" t="n">
        <v>5.093</v>
      </c>
    </row>
    <row r="108">
      <c r="A108" s="8" t="n">
        <v>45474</v>
      </c>
      <c r="B108" s="9" t="n">
        <v>131.715</v>
      </c>
      <c r="C108" s="9" t="n">
        <v>131.262</v>
      </c>
      <c r="D108" s="9" t="n">
        <v>0.89</v>
      </c>
      <c r="E108" s="9" t="n">
        <v>-0.8120000000000001</v>
      </c>
      <c r="F108" s="9" t="n">
        <v>39.578</v>
      </c>
      <c r="G108" s="9" t="n">
        <v>39.116</v>
      </c>
      <c r="H108" s="9" t="n">
        <v>1.864</v>
      </c>
      <c r="I108" s="9" t="n">
        <v>5.101</v>
      </c>
    </row>
    <row r="109">
      <c r="A109" s="10" t="n">
        <v>45505</v>
      </c>
      <c r="B109" s="11" t="n">
        <v>131.882</v>
      </c>
      <c r="C109" s="11" t="n">
        <v>131.174</v>
      </c>
      <c r="D109" s="11" t="n">
        <v>1.809</v>
      </c>
      <c r="E109" s="11" t="n">
        <v>0.401</v>
      </c>
      <c r="F109" s="11" t="n">
        <v>39.494</v>
      </c>
      <c r="G109" s="11" t="n">
        <v>39.027</v>
      </c>
      <c r="H109" s="11" t="n">
        <v>-1.026</v>
      </c>
      <c r="I109" s="11" t="n">
        <v>4.576</v>
      </c>
    </row>
    <row r="110">
      <c r="A110" s="8" t="n">
        <v>45536</v>
      </c>
      <c r="B110" s="9" t="n">
        <v>130.175</v>
      </c>
      <c r="C110" s="9" t="n">
        <v>131.068</v>
      </c>
      <c r="D110" s="9" t="n">
        <v>-1.703</v>
      </c>
      <c r="E110" s="9" t="n">
        <v>-2.348</v>
      </c>
      <c r="F110" s="9" t="n">
        <v>38.065</v>
      </c>
      <c r="G110" s="9" t="n">
        <v>38.933</v>
      </c>
      <c r="H110" s="9" t="n">
        <v>-5.771</v>
      </c>
      <c r="I110" s="9" t="n">
        <v>-3.73</v>
      </c>
    </row>
    <row r="111">
      <c r="A111" s="10" t="n">
        <v>45566</v>
      </c>
      <c r="B111" s="11" t="n">
        <v>129.81</v>
      </c>
      <c r="C111" s="11" t="n">
        <v>130.972</v>
      </c>
      <c r="D111" s="11" t="n">
        <v>-0.54</v>
      </c>
      <c r="E111" s="11" t="n">
        <v>-3.583</v>
      </c>
      <c r="F111" s="11" t="n">
        <v>38.806</v>
      </c>
      <c r="G111" s="11" t="n">
        <v>38.849</v>
      </c>
      <c r="H111" s="11" t="n">
        <v>-0.924</v>
      </c>
      <c r="I111" s="11" t="n">
        <v>-5.844</v>
      </c>
    </row>
    <row r="112">
      <c r="A112" s="8" t="n">
        <v>45597</v>
      </c>
      <c r="B112" s="9" t="n">
        <v>132.307</v>
      </c>
      <c r="C112" s="9" t="n">
        <v>130.916</v>
      </c>
      <c r="D112" s="9" t="n">
        <v>2.288</v>
      </c>
      <c r="E112" s="9" t="n">
        <v>-3.353</v>
      </c>
      <c r="F112" s="9" t="n">
        <v>38.78</v>
      </c>
      <c r="G112" s="9" t="n">
        <v>38.786</v>
      </c>
      <c r="H112" s="9" t="n">
        <v>-1.005</v>
      </c>
      <c r="I112" s="9" t="n">
        <v>-7.608</v>
      </c>
    </row>
    <row r="113">
      <c r="A113" s="10" t="n">
        <v>45627</v>
      </c>
      <c r="B113" s="11" t="n">
        <v>129.395</v>
      </c>
      <c r="C113" s="11" t="n">
        <v>130.906</v>
      </c>
      <c r="D113" s="11" t="n">
        <v>6.907</v>
      </c>
      <c r="E113" s="11" t="n">
        <v>-2.276</v>
      </c>
      <c r="F113" s="11" t="n">
        <v>37.333</v>
      </c>
      <c r="G113" s="11" t="n">
        <v>38.75</v>
      </c>
      <c r="H113" s="11" t="n">
        <v>4.108</v>
      </c>
      <c r="I113" s="11" t="n">
        <v>-7.359</v>
      </c>
    </row>
    <row r="114">
      <c r="A114" s="8" t="n">
        <v>45658</v>
      </c>
      <c r="B114" s="9" t="n">
        <v>129.871</v>
      </c>
      <c r="C114" s="9" t="n">
        <v>130.941</v>
      </c>
      <c r="D114" s="9" t="n">
        <v>-1.252</v>
      </c>
      <c r="E114" s="9" t="n">
        <v>-0.301</v>
      </c>
      <c r="F114" s="9" t="n">
        <v>38.69</v>
      </c>
      <c r="G114" s="9" t="n">
        <v>38.743</v>
      </c>
      <c r="H114" s="9" t="n">
        <v>-2.857</v>
      </c>
      <c r="I114" s="9" t="n">
        <v>-5.261</v>
      </c>
    </row>
    <row r="115">
      <c r="A115" s="10" t="n">
        <v>45689</v>
      </c>
      <c r="B115" s="11" t="n">
        <v>129.87</v>
      </c>
      <c r="C115" s="11" t="n">
        <v>131.012</v>
      </c>
      <c r="D115" s="11" t="n">
        <v>-2.133</v>
      </c>
      <c r="E115" s="11" t="n">
        <v>-3.179</v>
      </c>
      <c r="F115" s="11" t="n">
        <v>38.473</v>
      </c>
      <c r="G115" s="11" t="n">
        <v>38.763</v>
      </c>
      <c r="H115" s="11" t="n">
        <v>-3.048</v>
      </c>
      <c r="I115" s="11" t="n">
        <v>-3.934</v>
      </c>
    </row>
    <row r="116">
      <c r="A116" s="8" t="n">
        <v>45717</v>
      </c>
      <c r="B116" s="9" t="n">
        <v>131.482</v>
      </c>
      <c r="C116" s="9" t="n">
        <v>131.121</v>
      </c>
      <c r="D116" s="9" t="n">
        <v>0.221</v>
      </c>
      <c r="E116" s="9" t="n">
        <v>-0.295</v>
      </c>
      <c r="F116" s="9" t="n">
        <v>38.338</v>
      </c>
      <c r="G116" s="9" t="n">
        <v>38.811</v>
      </c>
      <c r="H116" s="9" t="n">
        <v>2.825</v>
      </c>
      <c r="I116" s="9" t="n">
        <v>2.042</v>
      </c>
    </row>
    <row r="117">
      <c r="A117" s="10" t="n">
        <v>45748</v>
      </c>
      <c r="B117" s="11" t="n">
        <v>124.184</v>
      </c>
      <c r="C117" s="11" t="n">
        <v>131.272</v>
      </c>
      <c r="D117" s="11" t="n">
        <v>-6.187</v>
      </c>
      <c r="E117" s="11" t="n">
        <v>-6.026</v>
      </c>
      <c r="F117" s="11" t="n">
        <v>36.276</v>
      </c>
      <c r="G117" s="11" t="n">
        <v>38.886</v>
      </c>
      <c r="H117" s="11" t="n">
        <v>-8.630000000000001</v>
      </c>
      <c r="I117" s="11" t="n">
        <v>-5.846</v>
      </c>
    </row>
    <row r="118">
      <c r="A118" s="8" t="n">
        <v>45778</v>
      </c>
      <c r="B118" s="9" t="n">
        <v>130.296</v>
      </c>
      <c r="C118" s="9" t="n">
        <v>131.464</v>
      </c>
      <c r="D118" s="9" t="n">
        <v>-1.059</v>
      </c>
      <c r="E118" s="9" t="n">
        <v>-3.223</v>
      </c>
      <c r="F118" s="9" t="n">
        <v>38.566</v>
      </c>
      <c r="G118" s="9" t="n">
        <v>38.986</v>
      </c>
      <c r="H118" s="9" t="n">
        <v>-2.763</v>
      </c>
      <c r="I118" s="9" t="n">
        <v>-4.517</v>
      </c>
    </row>
    <row r="119">
      <c r="A119" s="10" t="n">
        <v>45809</v>
      </c>
      <c r="B119" s="11" t="n">
        <v>130.086</v>
      </c>
      <c r="C119" s="11" t="n">
        <v>131.691</v>
      </c>
      <c r="D119" s="11" t="n">
        <v>-1.49</v>
      </c>
      <c r="E119" s="11" t="n">
        <v>-6.634</v>
      </c>
      <c r="F119" s="11" t="n">
        <v>38.147</v>
      </c>
      <c r="G119" s="11" t="n">
        <v>39.116</v>
      </c>
      <c r="H119" s="11" t="n">
        <v>-1.912</v>
      </c>
      <c r="I119" s="11" t="n">
        <v>-8.420999999999999</v>
      </c>
    </row>
    <row r="120">
      <c r="A120" s="8" t="n">
        <v>45839</v>
      </c>
      <c r="B120" s="9" t="n">
        <v>133.866</v>
      </c>
      <c r="C120" s="9" t="n">
        <v>131.946</v>
      </c>
      <c r="D120" s="9" t="n">
        <v>1.633</v>
      </c>
      <c r="E120" s="9" t="n">
        <v>9.351000000000001</v>
      </c>
      <c r="F120" s="9" t="n">
        <v>39.645</v>
      </c>
      <c r="G120" s="9" t="n">
        <v>39.273</v>
      </c>
      <c r="H120" s="9" t="n">
        <v>0.171</v>
      </c>
      <c r="I120" s="9" t="n">
        <v>12.082</v>
      </c>
    </row>
    <row r="121">
      <c r="A121" s="10" t="n">
        <v>45870</v>
      </c>
      <c r="B121" s="11" t="n">
        <v>131.926</v>
      </c>
      <c r="C121" s="11" t="n">
        <v>132.222</v>
      </c>
      <c r="D121" s="11" t="n">
        <v>0.033</v>
      </c>
      <c r="E121" s="11" t="n">
        <v>10.68</v>
      </c>
      <c r="F121" s="11" t="n">
        <v>38.72</v>
      </c>
      <c r="G121" s="11" t="n">
        <v>39.453</v>
      </c>
      <c r="H121" s="11" t="n">
        <v>-1.96</v>
      </c>
      <c r="I121" s="11" t="n">
        <v>12.302</v>
      </c>
    </row>
    <row r="122">
      <c r="A122" s="8" t="n">
        <v>45901</v>
      </c>
      <c r="B122" s="9" t="n">
        <v>132.418</v>
      </c>
      <c r="C122" s="9" t="n">
        <v>132.51</v>
      </c>
      <c r="D122" s="9" t="n">
        <v>1.723</v>
      </c>
      <c r="E122" s="9" t="n">
        <v>14.965</v>
      </c>
      <c r="F122" s="9" t="n">
        <v>39.724</v>
      </c>
      <c r="G122" s="9" t="n">
        <v>39.681</v>
      </c>
      <c r="H122" s="9" t="n">
        <v>4.358</v>
      </c>
      <c r="I122" s="9" t="n">
        <v>19.315</v>
      </c>
    </row>
    <row r="123">
      <c r="A123" s="10" t="n">
        <v>45931</v>
      </c>
      <c r="B123" s="11" t="n">
        <v>133.498</v>
      </c>
      <c r="C123" s="11" t="n">
        <v>132.778</v>
      </c>
      <c r="D123" s="11" t="n">
        <v>2.841</v>
      </c>
      <c r="E123" s="11" t="n">
        <v>3.697</v>
      </c>
      <c r="F123" s="11" t="n">
        <v>39.973</v>
      </c>
      <c r="G123" s="11" t="n">
        <v>39.908</v>
      </c>
      <c r="H123" s="11" t="n">
        <v>3.006</v>
      </c>
      <c r="I123" s="11" t="n">
        <v>7.264</v>
      </c>
    </row>
    <row r="124">
      <c r="A124" s="8" t="n">
        <v>45962</v>
      </c>
      <c r="B124" s="9" t="n">
        <v>132.611</v>
      </c>
      <c r="C124" s="9" t="n">
        <v>133.041</v>
      </c>
      <c r="D124" s="9" t="n">
        <v>0.23</v>
      </c>
      <c r="E124" s="9" t="n">
        <v>2.704</v>
      </c>
      <c r="F124" s="9" t="n">
        <v>40.11</v>
      </c>
      <c r="G124" s="9" t="n">
        <v>40.136</v>
      </c>
      <c r="H124" s="9" t="n">
        <v>3.431</v>
      </c>
      <c r="I124" s="9" t="n">
        <v>11.802</v>
      </c>
    </row>
    <row r="125">
      <c r="A125" s="10" t="n">
        <v>45992</v>
      </c>
      <c r="B125" s="11" t="n">
        <v>134.307</v>
      </c>
      <c r="C125" s="11" t="n">
        <v>133.301</v>
      </c>
      <c r="D125" s="11" t="n">
        <v>3.797</v>
      </c>
      <c r="E125" s="11" t="n">
        <v>2.234</v>
      </c>
      <c r="F125" s="11" t="n">
        <v>40.73</v>
      </c>
      <c r="G125" s="11" t="n">
        <v>40.367</v>
      </c>
      <c r="H125" s="11" t="n">
        <v>9.099</v>
      </c>
      <c r="I125" s="11" t="n">
        <v>9.551</v>
      </c>
    </row>
    <row r="126">
      <c r="A126" s="8" t="n">
        <v>46023</v>
      </c>
      <c r="B126" s="9" t="n">
        <v>134.048</v>
      </c>
      <c r="C126" s="9" t="n">
        <v>133.561</v>
      </c>
      <c r="D126" s="9" t="n">
        <v>3.216</v>
      </c>
      <c r="E126" s="9" t="n">
        <v>3.178</v>
      </c>
      <c r="F126" s="9" t="n">
        <v>40.439</v>
      </c>
      <c r="G126" s="9" t="n">
        <v>40.6</v>
      </c>
      <c r="H126" s="9" t="n">
        <v>4.519</v>
      </c>
      <c r="I126" s="9" t="n">
        <v>10.026</v>
      </c>
    </row>
    <row r="127">
      <c r="A127" s="10" t="n">
        <v>46054</v>
      </c>
      <c r="B127" s="11" t="n">
        <v>124.303</v>
      </c>
      <c r="C127" s="11" t="n">
        <v>133.819</v>
      </c>
      <c r="D127" s="11" t="n">
        <v>-4.287</v>
      </c>
      <c r="E127" s="11" t="n">
        <v>-5.762</v>
      </c>
      <c r="F127" s="11" t="n">
        <v>37.546</v>
      </c>
      <c r="G127" s="11" t="n">
        <v>40.836</v>
      </c>
      <c r="H127" s="11" t="n">
        <v>-2.41</v>
      </c>
      <c r="I127" s="11" t="n">
        <v>-3.598</v>
      </c>
    </row>
    <row r="128">
      <c r="A128" s="8" t="n">
        <v>46082</v>
      </c>
      <c r="B128" s="9" t="n">
        <v>133.855</v>
      </c>
      <c r="C128" s="9" t="n">
        <v>134.075</v>
      </c>
      <c r="D128" s="9" t="n">
        <v>1.805</v>
      </c>
      <c r="E128" s="9" t="n">
        <v>-7.952</v>
      </c>
      <c r="F128" s="9" t="n">
        <v>41.447</v>
      </c>
      <c r="G128" s="9" t="n">
        <v>41.074</v>
      </c>
      <c r="H128" s="9" t="n">
        <v>8.108000000000001</v>
      </c>
      <c r="I128" s="9" t="n">
        <v>-4.498</v>
      </c>
    </row>
    <row r="129">
      <c r="A129" s="10" t="n">
        <v>46113</v>
      </c>
      <c r="B129" s="11" t="n">
        <v>134.049</v>
      </c>
      <c r="C129" s="11" t="n">
        <v>134.33</v>
      </c>
      <c r="D129" s="11" t="n">
        <v>7.944</v>
      </c>
      <c r="E129" s="11" t="n">
        <v>-8.456</v>
      </c>
      <c r="F129" s="11" t="n">
        <v>41.037</v>
      </c>
      <c r="G129" s="11" t="n">
        <v>41.315</v>
      </c>
      <c r="H129" s="11" t="n">
        <v>13.126</v>
      </c>
      <c r="I129" s="11" t="n">
        <v>-4.056</v>
      </c>
    </row>
    <row r="130">
      <c r="A130" s="8" t="n">
        <v>46143</v>
      </c>
      <c r="B130" s="9" t="n">
        <v>135.461</v>
      </c>
      <c r="C130" s="9" t="n">
        <v>134.582</v>
      </c>
      <c r="D130" s="9" t="n">
        <v>3.964</v>
      </c>
      <c r="E130" s="9" t="n">
        <v>11.361</v>
      </c>
      <c r="F130" s="9" t="n">
        <v>41.616</v>
      </c>
      <c r="G130" s="9" t="n">
        <v>41.558</v>
      </c>
      <c r="H130" s="9" t="n">
        <v>7.909</v>
      </c>
      <c r="I130" s="9" t="n">
        <v>19.422</v>
      </c>
    </row>
    <row r="131">
      <c r="A131" s="10" t="n">
        <v>46174</v>
      </c>
      <c r="B131" s="11" t="n">
        <v>135.255</v>
      </c>
      <c r="C131" s="11" t="n">
        <v>134.831</v>
      </c>
      <c r="D131" s="11" t="n">
        <v>3.973</v>
      </c>
      <c r="E131" s="11" t="n">
        <v>13.436</v>
      </c>
      <c r="F131" s="11" t="n">
        <v>42.358</v>
      </c>
      <c r="G131" s="11" t="n">
        <v>41.803</v>
      </c>
      <c r="H131" s="11" t="n">
        <v>11.039</v>
      </c>
      <c r="I131" s="11" t="n">
        <v>20.042</v>
      </c>
    </row>
    <row r="132">
      <c r="A132" s="8" t="n">
        <v>46204</v>
      </c>
      <c r="B132" s="9" t="n">
        <v>133.075</v>
      </c>
      <c r="C132" s="9" t="n">
        <v>135.078</v>
      </c>
      <c r="D132" s="9" t="n">
        <v>-0.591</v>
      </c>
      <c r="E132" s="9" t="n">
        <v>12.346</v>
      </c>
      <c r="F132" s="9" t="n">
        <v>41.464</v>
      </c>
      <c r="G132" s="9" t="n">
        <v>42.049</v>
      </c>
      <c r="H132" s="9" t="n">
        <v>4.586</v>
      </c>
      <c r="I132" s="9" t="n">
        <v>19.276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Pronóstico SARIMA de la venta en la bomba</t>
        </is>
      </c>
    </row>
    <row r="2">
      <c r="A2" s="2" t="inlineStr">
        <is>
          <t>18 meses · banda de 80% · millones de litros diarios</t>
        </is>
      </c>
    </row>
    <row r="5">
      <c r="A5" s="6" t="inlineStr">
        <is>
          <t>Mes</t>
        </is>
      </c>
      <c r="B5" s="7" t="inlineStr">
        <is>
          <t>Gasolinas medio</t>
        </is>
      </c>
      <c r="C5" s="7" t="inlineStr">
        <is>
          <t>Gasolinas inf80</t>
        </is>
      </c>
      <c r="D5" s="7" t="inlineStr">
        <is>
          <t>Gasolinas sup80</t>
        </is>
      </c>
      <c r="E5" s="7" t="inlineStr">
        <is>
          <t>Regular medio</t>
        </is>
      </c>
      <c r="F5" s="7" t="inlineStr">
        <is>
          <t>Regular inf80</t>
        </is>
      </c>
      <c r="G5" s="7" t="inlineStr">
        <is>
          <t>Regular sup80</t>
        </is>
      </c>
      <c r="H5" s="7" t="inlineStr">
        <is>
          <t>Premium medio</t>
        </is>
      </c>
      <c r="I5" s="7" t="inlineStr">
        <is>
          <t>Premium inf80</t>
        </is>
      </c>
      <c r="J5" s="7" t="inlineStr">
        <is>
          <t>Premium sup80</t>
        </is>
      </c>
      <c r="K5" s="7" t="inlineStr">
        <is>
          <t>Diésel medio</t>
        </is>
      </c>
      <c r="L5" s="7" t="inlineStr">
        <is>
          <t>Diésel inf80</t>
        </is>
      </c>
      <c r="M5" s="7" t="inlineStr">
        <is>
          <t>Diésel sup80</t>
        </is>
      </c>
    </row>
    <row r="6">
      <c r="A6" s="8" t="n">
        <v>46235</v>
      </c>
      <c r="B6" s="9" t="n">
        <v>128.458</v>
      </c>
      <c r="C6" s="9" t="n">
        <v>121.413</v>
      </c>
      <c r="D6" s="9" t="n">
        <v>135.913</v>
      </c>
      <c r="E6" s="9" t="n">
        <v>103.163</v>
      </c>
      <c r="F6" s="9" t="n">
        <v>97.688</v>
      </c>
      <c r="G6" s="9" t="n">
        <v>108.945</v>
      </c>
      <c r="H6" s="9" t="n">
        <v>25.22</v>
      </c>
      <c r="I6" s="9" t="n">
        <v>23.031</v>
      </c>
      <c r="J6" s="9" t="n">
        <v>27.618</v>
      </c>
      <c r="K6" s="9" t="n">
        <v>39.48</v>
      </c>
      <c r="L6" s="9" t="n">
        <v>36.792</v>
      </c>
      <c r="M6" s="9" t="n">
        <v>42.364</v>
      </c>
    </row>
    <row r="7">
      <c r="A7" s="10" t="n">
        <v>46266</v>
      </c>
      <c r="B7" s="11" t="n">
        <v>127.248</v>
      </c>
      <c r="C7" s="11" t="n">
        <v>117.946</v>
      </c>
      <c r="D7" s="11" t="n">
        <v>137.285</v>
      </c>
      <c r="E7" s="11" t="n">
        <v>102.298</v>
      </c>
      <c r="F7" s="11" t="n">
        <v>95.018</v>
      </c>
      <c r="G7" s="11" t="n">
        <v>110.137</v>
      </c>
      <c r="H7" s="11" t="n">
        <v>24.908</v>
      </c>
      <c r="I7" s="11" t="n">
        <v>21.978</v>
      </c>
      <c r="J7" s="11" t="n">
        <v>28.228</v>
      </c>
      <c r="K7" s="11" t="n">
        <v>39.097</v>
      </c>
      <c r="L7" s="11" t="n">
        <v>35.794</v>
      </c>
      <c r="M7" s="11" t="n">
        <v>42.705</v>
      </c>
    </row>
    <row r="8">
      <c r="A8" s="8" t="n">
        <v>46296</v>
      </c>
      <c r="B8" s="9" t="n">
        <v>127.467</v>
      </c>
      <c r="C8" s="9" t="n">
        <v>116.655</v>
      </c>
      <c r="D8" s="9" t="n">
        <v>139.282</v>
      </c>
      <c r="E8" s="9" t="n">
        <v>102.558</v>
      </c>
      <c r="F8" s="9" t="n">
        <v>94.04300000000001</v>
      </c>
      <c r="G8" s="9" t="n">
        <v>111.845</v>
      </c>
      <c r="H8" s="9" t="n">
        <v>24.97</v>
      </c>
      <c r="I8" s="9" t="n">
        <v>21.504</v>
      </c>
      <c r="J8" s="9" t="n">
        <v>28.994</v>
      </c>
      <c r="K8" s="9" t="n">
        <v>41.289</v>
      </c>
      <c r="L8" s="9" t="n">
        <v>37.475</v>
      </c>
      <c r="M8" s="9" t="n">
        <v>45.49</v>
      </c>
    </row>
    <row r="9">
      <c r="A9" s="10" t="n">
        <v>46327</v>
      </c>
      <c r="B9" s="11" t="n">
        <v>127.023</v>
      </c>
      <c r="C9" s="11" t="n">
        <v>115.193</v>
      </c>
      <c r="D9" s="11" t="n">
        <v>140.067</v>
      </c>
      <c r="E9" s="11" t="n">
        <v>101.948</v>
      </c>
      <c r="F9" s="11" t="n">
        <v>92.608</v>
      </c>
      <c r="G9" s="11" t="n">
        <v>112.229</v>
      </c>
      <c r="H9" s="11" t="n">
        <v>25.209</v>
      </c>
      <c r="I9" s="11" t="n">
        <v>21.305</v>
      </c>
      <c r="J9" s="11" t="n">
        <v>29.829</v>
      </c>
      <c r="K9" s="11" t="n">
        <v>41.354</v>
      </c>
      <c r="L9" s="11" t="n">
        <v>37.363</v>
      </c>
      <c r="M9" s="11" t="n">
        <v>45.771</v>
      </c>
    </row>
    <row r="10">
      <c r="A10" s="8" t="n">
        <v>46357</v>
      </c>
      <c r="B10" s="9" t="n">
        <v>129.765</v>
      </c>
      <c r="C10" s="9" t="n">
        <v>116.881</v>
      </c>
      <c r="D10" s="9" t="n">
        <v>144.069</v>
      </c>
      <c r="E10" s="9" t="n">
        <v>103.731</v>
      </c>
      <c r="F10" s="9" t="n">
        <v>93.554</v>
      </c>
      <c r="G10" s="9" t="n">
        <v>115.015</v>
      </c>
      <c r="H10" s="9" t="n">
        <v>26.307</v>
      </c>
      <c r="I10" s="9" t="n">
        <v>21.895</v>
      </c>
      <c r="J10" s="9" t="n">
        <v>31.607</v>
      </c>
      <c r="K10" s="9" t="n">
        <v>39.039</v>
      </c>
      <c r="L10" s="9" t="n">
        <v>35.183</v>
      </c>
      <c r="M10" s="9" t="n">
        <v>43.318</v>
      </c>
    </row>
    <row r="11">
      <c r="A11" s="10" t="n">
        <v>46388</v>
      </c>
      <c r="B11" s="11" t="n">
        <v>121.283</v>
      </c>
      <c r="C11" s="11" t="n">
        <v>108.673</v>
      </c>
      <c r="D11" s="11" t="n">
        <v>135.356</v>
      </c>
      <c r="E11" s="11" t="n">
        <v>97.206</v>
      </c>
      <c r="F11" s="11" t="n">
        <v>87.178</v>
      </c>
      <c r="G11" s="11" t="n">
        <v>108.388</v>
      </c>
      <c r="H11" s="11" t="n">
        <v>24.213</v>
      </c>
      <c r="I11" s="11" t="n">
        <v>19.898</v>
      </c>
      <c r="J11" s="11" t="n">
        <v>29.464</v>
      </c>
      <c r="K11" s="11" t="n">
        <v>39.042</v>
      </c>
      <c r="L11" s="11" t="n">
        <v>35.137</v>
      </c>
      <c r="M11" s="11" t="n">
        <v>43.382</v>
      </c>
    </row>
    <row r="12">
      <c r="A12" s="8" t="n">
        <v>46419</v>
      </c>
      <c r="B12" s="9" t="n">
        <v>124.466</v>
      </c>
      <c r="C12" s="9" t="n">
        <v>111.089</v>
      </c>
      <c r="D12" s="9" t="n">
        <v>139.453</v>
      </c>
      <c r="E12" s="9" t="n">
        <v>100.125</v>
      </c>
      <c r="F12" s="9" t="n">
        <v>89.408</v>
      </c>
      <c r="G12" s="9" t="n">
        <v>112.128</v>
      </c>
      <c r="H12" s="9" t="n">
        <v>24.952</v>
      </c>
      <c r="I12" s="9" t="n">
        <v>20.29</v>
      </c>
      <c r="J12" s="9" t="n">
        <v>30.687</v>
      </c>
      <c r="K12" s="9" t="n">
        <v>38.374</v>
      </c>
      <c r="L12" s="9" t="n">
        <v>34.508</v>
      </c>
      <c r="M12" s="9" t="n">
        <v>42.673</v>
      </c>
    </row>
    <row r="13">
      <c r="A13" s="10" t="n">
        <v>46447</v>
      </c>
      <c r="B13" s="11" t="n">
        <v>125.83</v>
      </c>
      <c r="C13" s="11" t="n">
        <v>111.961</v>
      </c>
      <c r="D13" s="11" t="n">
        <v>141.416</v>
      </c>
      <c r="E13" s="11" t="n">
        <v>101.309</v>
      </c>
      <c r="F13" s="11" t="n">
        <v>90.149</v>
      </c>
      <c r="G13" s="11" t="n">
        <v>113.849</v>
      </c>
      <c r="H13" s="11" t="n">
        <v>24.969</v>
      </c>
      <c r="I13" s="11" t="n">
        <v>20.12</v>
      </c>
      <c r="J13" s="11" t="n">
        <v>30.987</v>
      </c>
      <c r="K13" s="11" t="n">
        <v>42.302</v>
      </c>
      <c r="L13" s="11" t="n">
        <v>38.023</v>
      </c>
      <c r="M13" s="11" t="n">
        <v>47.061</v>
      </c>
    </row>
    <row r="14">
      <c r="A14" s="8" t="n">
        <v>46478</v>
      </c>
      <c r="B14" s="9" t="n">
        <v>121.542</v>
      </c>
      <c r="C14" s="9" t="n">
        <v>107.882</v>
      </c>
      <c r="D14" s="9" t="n">
        <v>136.931</v>
      </c>
      <c r="E14" s="9" t="n">
        <v>98.14100000000001</v>
      </c>
      <c r="F14" s="9" t="n">
        <v>87.084</v>
      </c>
      <c r="G14" s="9" t="n">
        <v>110.602</v>
      </c>
      <c r="H14" s="9" t="n">
        <v>23.58</v>
      </c>
      <c r="I14" s="9" t="n">
        <v>18.852</v>
      </c>
      <c r="J14" s="9" t="n">
        <v>29.493</v>
      </c>
      <c r="K14" s="9" t="n">
        <v>42.057</v>
      </c>
      <c r="L14" s="9" t="n">
        <v>37.793</v>
      </c>
      <c r="M14" s="9" t="n">
        <v>46.801</v>
      </c>
    </row>
    <row r="15">
      <c r="A15" s="10" t="n">
        <v>46508</v>
      </c>
      <c r="B15" s="11" t="n">
        <v>126.402</v>
      </c>
      <c r="C15" s="11" t="n">
        <v>111.979</v>
      </c>
      <c r="D15" s="11" t="n">
        <v>142.684</v>
      </c>
      <c r="E15" s="11" t="n">
        <v>102.071</v>
      </c>
      <c r="F15" s="11" t="n">
        <v>90.363</v>
      </c>
      <c r="G15" s="11" t="n">
        <v>115.297</v>
      </c>
      <c r="H15" s="11" t="n">
        <v>24.482</v>
      </c>
      <c r="I15" s="11" t="n">
        <v>19.441</v>
      </c>
      <c r="J15" s="11" t="n">
        <v>30.831</v>
      </c>
      <c r="K15" s="11" t="n">
        <v>43.677</v>
      </c>
      <c r="L15" s="11" t="n">
        <v>39.244</v>
      </c>
      <c r="M15" s="11" t="n">
        <v>48.611</v>
      </c>
    </row>
    <row r="16">
      <c r="A16" s="8" t="n">
        <v>46539</v>
      </c>
      <c r="B16" s="9" t="n">
        <v>126.348</v>
      </c>
      <c r="C16" s="9" t="n">
        <v>111.757</v>
      </c>
      <c r="D16" s="9" t="n">
        <v>142.845</v>
      </c>
      <c r="E16" s="9" t="n">
        <v>101.763</v>
      </c>
      <c r="F16" s="9" t="n">
        <v>89.92</v>
      </c>
      <c r="G16" s="9" t="n">
        <v>115.166</v>
      </c>
      <c r="H16" s="9" t="n">
        <v>24.836</v>
      </c>
      <c r="I16" s="9" t="n">
        <v>19.604</v>
      </c>
      <c r="J16" s="9" t="n">
        <v>31.463</v>
      </c>
      <c r="K16" s="9" t="n">
        <v>43.263</v>
      </c>
      <c r="L16" s="9" t="n">
        <v>38.869</v>
      </c>
      <c r="M16" s="9" t="n">
        <v>48.154</v>
      </c>
    </row>
    <row r="17">
      <c r="A17" s="10" t="n">
        <v>46569</v>
      </c>
      <c r="B17" s="11" t="n">
        <v>124.917</v>
      </c>
      <c r="C17" s="11" t="n">
        <v>110.353</v>
      </c>
      <c r="D17" s="11" t="n">
        <v>141.402</v>
      </c>
      <c r="E17" s="11" t="n">
        <v>100.657</v>
      </c>
      <c r="F17" s="11" t="n">
        <v>88.80500000000001</v>
      </c>
      <c r="G17" s="11" t="n">
        <v>114.091</v>
      </c>
      <c r="H17" s="11" t="n">
        <v>24.683</v>
      </c>
      <c r="I17" s="11" t="n">
        <v>19.382</v>
      </c>
      <c r="J17" s="11" t="n">
        <v>31.434</v>
      </c>
      <c r="K17" s="11" t="n">
        <v>40.833</v>
      </c>
      <c r="L17" s="11" t="n">
        <v>36.684</v>
      </c>
      <c r="M17" s="11" t="n">
        <v>45.451</v>
      </c>
    </row>
    <row r="18">
      <c r="A18" s="8" t="n">
        <v>46600</v>
      </c>
      <c r="B18" s="9" t="n">
        <v>124.299</v>
      </c>
      <c r="C18" s="9" t="n">
        <v>109.574</v>
      </c>
      <c r="D18" s="9" t="n">
        <v>141.003</v>
      </c>
      <c r="E18" s="9" t="n">
        <v>99.886</v>
      </c>
      <c r="F18" s="9" t="n">
        <v>87.956</v>
      </c>
      <c r="G18" s="9" t="n">
        <v>113.436</v>
      </c>
      <c r="H18" s="9" t="n">
        <v>24.758</v>
      </c>
      <c r="I18" s="9" t="n">
        <v>19.305</v>
      </c>
      <c r="J18" s="9" t="n">
        <v>31.75</v>
      </c>
      <c r="K18" s="9" t="n">
        <v>39.519</v>
      </c>
      <c r="L18" s="9" t="n">
        <v>34.717</v>
      </c>
      <c r="M18" s="9" t="n">
        <v>44.987</v>
      </c>
    </row>
    <row r="19">
      <c r="A19" s="10" t="n">
        <v>46631</v>
      </c>
      <c r="B19" s="11" t="n">
        <v>123.486</v>
      </c>
      <c r="C19" s="11" t="n">
        <v>108.673</v>
      </c>
      <c r="D19" s="11" t="n">
        <v>140.319</v>
      </c>
      <c r="E19" s="11" t="n">
        <v>99.35299999999999</v>
      </c>
      <c r="F19" s="11" t="n">
        <v>87.34699999999999</v>
      </c>
      <c r="G19" s="11" t="n">
        <v>113.008</v>
      </c>
      <c r="H19" s="11" t="n">
        <v>24.465</v>
      </c>
      <c r="I19" s="11" t="n">
        <v>18.961</v>
      </c>
      <c r="J19" s="11" t="n">
        <v>31.567</v>
      </c>
      <c r="K19" s="11" t="n">
        <v>39.127</v>
      </c>
      <c r="L19" s="11" t="n">
        <v>33.991</v>
      </c>
      <c r="M19" s="11" t="n">
        <v>45.039</v>
      </c>
    </row>
    <row r="20">
      <c r="A20" s="8" t="n">
        <v>46661</v>
      </c>
      <c r="B20" s="9" t="n">
        <v>124.062</v>
      </c>
      <c r="C20" s="9" t="n">
        <v>109.031</v>
      </c>
      <c r="D20" s="9" t="n">
        <v>141.165</v>
      </c>
      <c r="E20" s="9" t="n">
        <v>99.857</v>
      </c>
      <c r="F20" s="9" t="n">
        <v>87.67700000000001</v>
      </c>
      <c r="G20" s="9" t="n">
        <v>113.73</v>
      </c>
      <c r="H20" s="9" t="n">
        <v>24.55</v>
      </c>
      <c r="I20" s="9" t="n">
        <v>18.924</v>
      </c>
      <c r="J20" s="9" t="n">
        <v>31.847</v>
      </c>
      <c r="K20" s="9" t="n">
        <v>41.312</v>
      </c>
      <c r="L20" s="9" t="n">
        <v>35.676</v>
      </c>
      <c r="M20" s="9" t="n">
        <v>47.838</v>
      </c>
    </row>
    <row r="21">
      <c r="A21" s="10" t="n">
        <v>46692</v>
      </c>
      <c r="B21" s="11" t="n">
        <v>123.936</v>
      </c>
      <c r="C21" s="11" t="n">
        <v>108.802</v>
      </c>
      <c r="D21" s="11" t="n">
        <v>141.176</v>
      </c>
      <c r="E21" s="11" t="n">
        <v>99.503</v>
      </c>
      <c r="F21" s="11" t="n">
        <v>87.271</v>
      </c>
      <c r="G21" s="11" t="n">
        <v>113.448</v>
      </c>
      <c r="H21" s="11" t="n">
        <v>24.803</v>
      </c>
      <c r="I21" s="11" t="n">
        <v>19.029</v>
      </c>
      <c r="J21" s="11" t="n">
        <v>32.328</v>
      </c>
      <c r="K21" s="11" t="n">
        <v>41.371</v>
      </c>
      <c r="L21" s="11" t="n">
        <v>35.611</v>
      </c>
      <c r="M21" s="11" t="n">
        <v>48.064</v>
      </c>
    </row>
    <row r="22">
      <c r="A22" s="8" t="n">
        <v>46722</v>
      </c>
      <c r="B22" s="9" t="n">
        <v>126.911</v>
      </c>
      <c r="C22" s="9" t="n">
        <v>111.315</v>
      </c>
      <c r="D22" s="9" t="n">
        <v>144.692</v>
      </c>
      <c r="E22" s="9" t="n">
        <v>101.458</v>
      </c>
      <c r="F22" s="9" t="n">
        <v>88.907</v>
      </c>
      <c r="G22" s="9" t="n">
        <v>115.78</v>
      </c>
      <c r="H22" s="9" t="n">
        <v>25.907</v>
      </c>
      <c r="I22" s="9" t="n">
        <v>19.793</v>
      </c>
      <c r="J22" s="9" t="n">
        <v>33.909</v>
      </c>
      <c r="K22" s="9" t="n">
        <v>39.052</v>
      </c>
      <c r="L22" s="9" t="n">
        <v>33.553</v>
      </c>
      <c r="M22" s="9" t="n">
        <v>45.452</v>
      </c>
    </row>
    <row r="23">
      <c r="A23" s="10" t="n">
        <v>46753</v>
      </c>
      <c r="B23" s="11" t="n">
        <v>118.852</v>
      </c>
      <c r="C23" s="11" t="n">
        <v>104.172</v>
      </c>
      <c r="D23" s="11" t="n">
        <v>135.6</v>
      </c>
      <c r="E23" s="11" t="n">
        <v>95.26300000000001</v>
      </c>
      <c r="F23" s="11" t="n">
        <v>83.41800000000001</v>
      </c>
      <c r="G23" s="11" t="n">
        <v>108.791</v>
      </c>
      <c r="H23" s="11" t="n">
        <v>23.849</v>
      </c>
      <c r="I23" s="11" t="n">
        <v>18.154</v>
      </c>
      <c r="J23" s="11" t="n">
        <v>31.332</v>
      </c>
      <c r="K23" s="11" t="n">
        <v>39.052</v>
      </c>
      <c r="L23" s="11" t="n">
        <v>33.518</v>
      </c>
      <c r="M23" s="11" t="n">
        <v>45.499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Reconciliación contra el 20-F 2025 auditado</t>
        </is>
      </c>
    </row>
    <row r="2">
      <c r="A2" s="2" t="inlineStr">
        <is>
          <t>Miles de barriles diarios · promedio del año</t>
        </is>
      </c>
    </row>
    <row r="6">
      <c r="A6" s="6" t="inlineStr">
        <is>
          <t>Concepto</t>
        </is>
      </c>
      <c r="B6" s="6" t="inlineStr">
        <is>
          <t>Reconstruido</t>
        </is>
      </c>
      <c r="C6" s="6" t="inlineStr">
        <is>
          <t>20-F 2025</t>
        </is>
      </c>
      <c r="D6" s="6" t="inlineStr">
        <is>
          <t>Diferencia</t>
        </is>
      </c>
      <c r="E6" s="6" t="inlineStr">
        <is>
          <t>Dif. %</t>
        </is>
      </c>
    </row>
    <row r="7">
      <c r="A7" s="13" t="inlineStr">
        <is>
          <t>Ventas nacionales de gasolinas Pemex</t>
        </is>
      </c>
      <c r="B7" s="18" t="n">
        <v>673.8</v>
      </c>
      <c r="C7" s="18" t="n">
        <v>674.1</v>
      </c>
      <c r="D7" s="19">
        <f>B7-C7</f>
        <v/>
      </c>
      <c r="E7" s="20">
        <f>IFERROR(ABS(B7-C7)/ABS(C7),"")</f>
        <v/>
      </c>
    </row>
    <row r="8">
      <c r="A8" s="13" t="inlineStr">
        <is>
          <t>Pemex Magna</t>
        </is>
      </c>
      <c r="B8" s="18" t="n">
        <v>516.7</v>
      </c>
      <c r="C8" s="18" t="n">
        <v>517</v>
      </c>
      <c r="D8" s="19">
        <f>B8-C8</f>
        <v/>
      </c>
      <c r="E8" s="20">
        <f>IFERROR(ABS(B8-C8)/ABS(C8),"")</f>
        <v/>
      </c>
    </row>
    <row r="9">
      <c r="A9" s="13" t="inlineStr">
        <is>
          <t>Pemex Premium</t>
        </is>
      </c>
      <c r="B9" s="18" t="n">
        <v>156.7</v>
      </c>
      <c r="C9" s="18" t="n">
        <v>156.7</v>
      </c>
      <c r="D9" s="19">
        <f>B9-C9</f>
        <v/>
      </c>
      <c r="E9" s="20">
        <f>IFERROR(ABS(B9-C9)/ABS(C9),"")</f>
        <v/>
      </c>
    </row>
    <row r="10">
      <c r="A10" s="13" t="inlineStr">
        <is>
          <t>Ventas nacionales de diésel Pemex</t>
        </is>
      </c>
      <c r="B10" s="18" t="n">
        <v>275.5</v>
      </c>
      <c r="C10" s="18" t="n">
        <v>275.7</v>
      </c>
      <c r="D10" s="19">
        <f>B10-C10</f>
        <v/>
      </c>
      <c r="E10" s="20">
        <f>IFERROR(ABS(B10-C10)/ABS(C10),"")</f>
        <v/>
      </c>
    </row>
    <row r="11">
      <c r="A11" s="13" t="inlineStr">
        <is>
          <t>Importación de gasolina Pemex</t>
        </is>
      </c>
      <c r="B11" s="18" t="n">
        <v>337.3</v>
      </c>
      <c r="C11" s="18" t="n">
        <v>337.3</v>
      </c>
      <c r="D11" s="19">
        <f>B11-C11</f>
        <v/>
      </c>
      <c r="E11" s="20">
        <f>IFERROR(ABS(B11-C11)/ABS(C11),"")</f>
        <v/>
      </c>
    </row>
    <row r="12">
      <c r="A12" s="13" t="inlineStr">
        <is>
          <t>Importación de diésel Pemex</t>
        </is>
      </c>
      <c r="B12" s="18" t="n">
        <v>81.3</v>
      </c>
      <c r="C12" s="18" t="n">
        <v>81.2</v>
      </c>
      <c r="D12" s="19">
        <f>B12-C12</f>
        <v/>
      </c>
      <c r="E12" s="20">
        <f>IFERROR(ABS(B12-C12)/ABS(C12),"")</f>
        <v/>
      </c>
    </row>
    <row r="13">
      <c r="A13" s="13" t="inlineStr">
        <is>
          <t>Variación de ventas de gasolinas (%)</t>
        </is>
      </c>
      <c r="B13" s="18" t="n">
        <v>0.9</v>
      </c>
      <c r="C13" s="18" t="n">
        <v>0.9</v>
      </c>
      <c r="D13" s="19">
        <f>B13-C13</f>
        <v/>
      </c>
      <c r="E13" s="20">
        <f>IFERROR(ABS(B13-C13)/ABS(C13),"")</f>
        <v/>
      </c>
    </row>
    <row r="14">
      <c r="A14" s="13" t="inlineStr">
        <is>
          <t>Variación de ventas de diésel (%)</t>
        </is>
      </c>
      <c r="B14" s="18" t="n">
        <v>-4.7</v>
      </c>
      <c r="C14" s="18" t="n">
        <v>-4.7</v>
      </c>
      <c r="D14" s="19">
        <f>B14-C14</f>
        <v/>
      </c>
      <c r="E14" s="20">
        <f>IFERROR(ABS(B14-C14)/ABS(C14),"")</f>
        <v/>
      </c>
    </row>
    <row r="17">
      <c r="A17" s="2" t="inlineStr">
        <is>
          <t>Fuente del comparativo: Pemex, Formulario 20-F para el ejercicio 2025.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Contraste contra el modelo IEPS_v06Ago26_v2</t>
        </is>
      </c>
    </row>
    <row r="2">
      <c r="A2" s="2" t="inlineStr">
        <is>
          <t>Serie independiente vs hoja Volumenes y Proy_Expendio del modelo</t>
        </is>
      </c>
    </row>
    <row r="5">
      <c r="A5" s="17" t="inlineStr">
        <is>
          <t>HISTÓRICO</t>
        </is>
      </c>
    </row>
    <row r="6">
      <c r="A6" s="6" t="inlineStr">
        <is>
          <t>Mes</t>
        </is>
      </c>
      <c r="B6" s="7" t="inlineStr">
        <is>
          <t>Indep. gasolinas</t>
        </is>
      </c>
      <c r="C6" s="7" t="inlineStr">
        <is>
          <t>Modelo gasolinas</t>
        </is>
      </c>
      <c r="D6" s="7" t="inlineStr">
        <is>
          <t>Indep. diésel</t>
        </is>
      </c>
      <c r="E6" s="7" t="inlineStr">
        <is>
          <t>Modelo diésel</t>
        </is>
      </c>
      <c r="F6" s="7" t="inlineStr">
        <is>
          <t>Dif. gasolinas %</t>
        </is>
      </c>
      <c r="G6" s="7" t="inlineStr">
        <is>
          <t>Dif. diésel %</t>
        </is>
      </c>
    </row>
    <row r="7">
      <c r="A7" s="10" t="n">
        <v>42370</v>
      </c>
      <c r="B7" s="11" t="n">
        <v>135.2088</v>
      </c>
      <c r="C7" s="11" t="n">
        <v>135.2088</v>
      </c>
      <c r="D7" s="11" t="n">
        <v>38.0724</v>
      </c>
      <c r="E7" s="11" t="n">
        <v>38.0724</v>
      </c>
      <c r="F7" s="11" t="n">
        <v>0</v>
      </c>
      <c r="G7" s="11" t="n">
        <v>0</v>
      </c>
    </row>
    <row r="8">
      <c r="A8" s="8" t="n">
        <v>42401</v>
      </c>
      <c r="B8" s="9" t="n">
        <v>135.0189</v>
      </c>
      <c r="C8" s="9" t="n">
        <v>135.0189</v>
      </c>
      <c r="D8" s="9" t="n">
        <v>40.7108</v>
      </c>
      <c r="E8" s="9" t="n">
        <v>40.7108</v>
      </c>
      <c r="F8" s="9" t="n">
        <v>0</v>
      </c>
      <c r="G8" s="9" t="n">
        <v>0</v>
      </c>
    </row>
    <row r="9">
      <c r="A9" s="10" t="n">
        <v>42430</v>
      </c>
      <c r="B9" s="11" t="n">
        <v>139.2875</v>
      </c>
      <c r="C9" s="11" t="n">
        <v>139.2875</v>
      </c>
      <c r="D9" s="11" t="n">
        <v>39.3225</v>
      </c>
      <c r="E9" s="11" t="n">
        <v>39.3225</v>
      </c>
      <c r="F9" s="11" t="n">
        <v>0</v>
      </c>
      <c r="G9" s="11" t="n">
        <v>0</v>
      </c>
    </row>
    <row r="10">
      <c r="A10" s="8" t="n">
        <v>42461</v>
      </c>
      <c r="B10" s="9" t="n">
        <v>119.4858</v>
      </c>
      <c r="C10" s="9" t="n">
        <v>119.4858</v>
      </c>
      <c r="D10" s="9" t="n">
        <v>41.0071</v>
      </c>
      <c r="E10" s="9" t="n">
        <v>41.0071</v>
      </c>
      <c r="F10" s="9" t="n">
        <v>0</v>
      </c>
      <c r="G10" s="9" t="n">
        <v>0</v>
      </c>
    </row>
    <row r="11">
      <c r="A11" s="10" t="n">
        <v>42491</v>
      </c>
      <c r="B11" s="11" t="n">
        <v>122.6171</v>
      </c>
      <c r="C11" s="11" t="n">
        <v>122.6171</v>
      </c>
      <c r="D11" s="11" t="n">
        <v>40.9729</v>
      </c>
      <c r="E11" s="11" t="n">
        <v>40.9729</v>
      </c>
      <c r="F11" s="11" t="n">
        <v>0</v>
      </c>
      <c r="G11" s="11" t="n">
        <v>0</v>
      </c>
    </row>
    <row r="12">
      <c r="A12" s="8" t="n">
        <v>42522</v>
      </c>
      <c r="B12" s="9" t="n">
        <v>123.0114</v>
      </c>
      <c r="C12" s="9" t="n">
        <v>123.0114</v>
      </c>
      <c r="D12" s="9" t="n">
        <v>41.3782</v>
      </c>
      <c r="E12" s="9" t="n">
        <v>41.3782</v>
      </c>
      <c r="F12" s="9" t="n">
        <v>0</v>
      </c>
      <c r="G12" s="9" t="n">
        <v>-0</v>
      </c>
    </row>
    <row r="13">
      <c r="A13" s="10" t="n">
        <v>42552</v>
      </c>
      <c r="B13" s="11" t="n">
        <v>122.1454</v>
      </c>
      <c r="C13" s="11" t="n">
        <v>122.1454</v>
      </c>
      <c r="D13" s="11" t="n">
        <v>39.3167</v>
      </c>
      <c r="E13" s="11" t="n">
        <v>39.3167</v>
      </c>
      <c r="F13" s="11" t="n">
        <v>0</v>
      </c>
      <c r="G13" s="11" t="n">
        <v>0</v>
      </c>
    </row>
    <row r="14">
      <c r="A14" s="8" t="n">
        <v>42583</v>
      </c>
      <c r="B14" s="9" t="n">
        <v>119.7112</v>
      </c>
      <c r="C14" s="9" t="n">
        <v>119.7112</v>
      </c>
      <c r="D14" s="9" t="n">
        <v>39.0926</v>
      </c>
      <c r="E14" s="9" t="n">
        <v>39.0926</v>
      </c>
      <c r="F14" s="9" t="n">
        <v>0</v>
      </c>
      <c r="G14" s="9" t="n">
        <v>0</v>
      </c>
    </row>
    <row r="15">
      <c r="A15" s="10" t="n">
        <v>42614</v>
      </c>
      <c r="B15" s="11" t="n">
        <v>119.2344</v>
      </c>
      <c r="C15" s="11" t="n">
        <v>119.2344</v>
      </c>
      <c r="D15" s="11" t="n">
        <v>37.9432</v>
      </c>
      <c r="E15" s="11" t="n">
        <v>37.9432</v>
      </c>
      <c r="F15" s="11" t="n">
        <v>0</v>
      </c>
      <c r="G15" s="11" t="n">
        <v>-0</v>
      </c>
    </row>
    <row r="16">
      <c r="A16" s="8" t="n">
        <v>42644</v>
      </c>
      <c r="B16" s="9" t="n">
        <v>118.3668</v>
      </c>
      <c r="C16" s="9" t="n">
        <v>118.3668</v>
      </c>
      <c r="D16" s="9" t="n">
        <v>38.6091</v>
      </c>
      <c r="E16" s="9" t="n">
        <v>38.6091</v>
      </c>
      <c r="F16" s="9" t="n">
        <v>0</v>
      </c>
      <c r="G16" s="9" t="n">
        <v>0</v>
      </c>
    </row>
    <row r="17">
      <c r="A17" s="10" t="n">
        <v>42675</v>
      </c>
      <c r="B17" s="11" t="n">
        <v>118.6541</v>
      </c>
      <c r="C17" s="11" t="n">
        <v>118.6541</v>
      </c>
      <c r="D17" s="11" t="n">
        <v>39.5353</v>
      </c>
      <c r="E17" s="11" t="n">
        <v>39.5353</v>
      </c>
      <c r="F17" s="11" t="n">
        <v>0</v>
      </c>
      <c r="G17" s="11" t="n">
        <v>0</v>
      </c>
    </row>
    <row r="18">
      <c r="A18" s="8" t="n">
        <v>42705</v>
      </c>
      <c r="B18" s="9" t="n">
        <v>132.6934</v>
      </c>
      <c r="C18" s="9" t="n">
        <v>132.6934</v>
      </c>
      <c r="D18" s="9" t="n">
        <v>40.5994</v>
      </c>
      <c r="E18" s="9" t="n">
        <v>40.5994</v>
      </c>
      <c r="F18" s="9" t="n">
        <v>0</v>
      </c>
      <c r="G18" s="9" t="n">
        <v>0</v>
      </c>
    </row>
    <row r="19">
      <c r="A19" s="10" t="n">
        <v>42736</v>
      </c>
      <c r="B19" s="11" t="n">
        <v>96.03660000000001</v>
      </c>
      <c r="C19" s="11" t="n">
        <v>96.03660000000001</v>
      </c>
      <c r="D19" s="11" t="n">
        <v>34.8877</v>
      </c>
      <c r="E19" s="11" t="n">
        <v>34.8877</v>
      </c>
      <c r="F19" s="11" t="n">
        <v>0</v>
      </c>
      <c r="G19" s="11" t="n">
        <v>0</v>
      </c>
    </row>
    <row r="20">
      <c r="A20" s="8" t="n">
        <v>42767</v>
      </c>
      <c r="B20" s="9" t="n">
        <v>107.3783</v>
      </c>
      <c r="C20" s="9" t="n">
        <v>107.3783</v>
      </c>
      <c r="D20" s="9" t="n">
        <v>38.1159</v>
      </c>
      <c r="E20" s="9" t="n">
        <v>38.1159</v>
      </c>
      <c r="F20" s="9" t="n">
        <v>0</v>
      </c>
      <c r="G20" s="9" t="n">
        <v>0</v>
      </c>
    </row>
    <row r="21">
      <c r="A21" s="10" t="n">
        <v>42795</v>
      </c>
      <c r="B21" s="11" t="n">
        <v>109.1286</v>
      </c>
      <c r="C21" s="11" t="n">
        <v>109.1286</v>
      </c>
      <c r="D21" s="11" t="n">
        <v>39.1192</v>
      </c>
      <c r="E21" s="11" t="n">
        <v>39.1192</v>
      </c>
      <c r="F21" s="11" t="n">
        <v>0</v>
      </c>
      <c r="G21" s="11" t="n">
        <v>0</v>
      </c>
    </row>
    <row r="22">
      <c r="A22" s="8" t="n">
        <v>42826</v>
      </c>
      <c r="B22" s="9" t="n">
        <v>108.8811</v>
      </c>
      <c r="C22" s="9" t="n">
        <v>108.8811</v>
      </c>
      <c r="D22" s="9" t="n">
        <v>37.0809</v>
      </c>
      <c r="E22" s="9" t="n">
        <v>37.0809</v>
      </c>
      <c r="F22" s="9" t="n">
        <v>0</v>
      </c>
      <c r="G22" s="9" t="n">
        <v>0</v>
      </c>
    </row>
    <row r="23">
      <c r="A23" s="10" t="n">
        <v>42856</v>
      </c>
      <c r="B23" s="11" t="n">
        <v>110.5273</v>
      </c>
      <c r="C23" s="11" t="n">
        <v>110.5273</v>
      </c>
      <c r="D23" s="11" t="n">
        <v>39.9224</v>
      </c>
      <c r="E23" s="11" t="n">
        <v>39.9224</v>
      </c>
      <c r="F23" s="11" t="n">
        <v>0</v>
      </c>
      <c r="G23" s="11" t="n">
        <v>-0</v>
      </c>
    </row>
    <row r="24">
      <c r="A24" s="8" t="n">
        <v>42887</v>
      </c>
      <c r="B24" s="9" t="n">
        <v>110.9909</v>
      </c>
      <c r="C24" s="9" t="n">
        <v>110.9909</v>
      </c>
      <c r="D24" s="9" t="n">
        <v>39.2526</v>
      </c>
      <c r="E24" s="9" t="n">
        <v>39.2526</v>
      </c>
      <c r="F24" s="9" t="n">
        <v>0</v>
      </c>
      <c r="G24" s="9" t="n">
        <v>0</v>
      </c>
    </row>
    <row r="25">
      <c r="A25" s="10" t="n">
        <v>42917</v>
      </c>
      <c r="B25" s="11" t="n">
        <v>109.0698</v>
      </c>
      <c r="C25" s="11" t="n">
        <v>109.0698</v>
      </c>
      <c r="D25" s="11" t="n">
        <v>36.5906</v>
      </c>
      <c r="E25" s="11" t="n">
        <v>36.5906</v>
      </c>
      <c r="F25" s="11" t="n">
        <v>0</v>
      </c>
      <c r="G25" s="11" t="n">
        <v>0</v>
      </c>
    </row>
    <row r="26">
      <c r="A26" s="8" t="n">
        <v>42948</v>
      </c>
      <c r="B26" s="9" t="n">
        <v>107.3448</v>
      </c>
      <c r="C26" s="9" t="n">
        <v>107.3448</v>
      </c>
      <c r="D26" s="9" t="n">
        <v>35.9533</v>
      </c>
      <c r="E26" s="9" t="n">
        <v>35.9533</v>
      </c>
      <c r="F26" s="9" t="n">
        <v>0</v>
      </c>
      <c r="G26" s="9" t="n">
        <v>-0</v>
      </c>
    </row>
    <row r="27">
      <c r="A27" s="10" t="n">
        <v>42979</v>
      </c>
      <c r="B27" s="11" t="n">
        <v>103.7323</v>
      </c>
      <c r="C27" s="11" t="n">
        <v>103.7323</v>
      </c>
      <c r="D27" s="11" t="n">
        <v>33.6567</v>
      </c>
      <c r="E27" s="11" t="n">
        <v>33.6567</v>
      </c>
      <c r="F27" s="11" t="n">
        <v>0</v>
      </c>
      <c r="G27" s="11" t="n">
        <v>0</v>
      </c>
    </row>
    <row r="28">
      <c r="A28" s="8" t="n">
        <v>43009</v>
      </c>
      <c r="B28" s="9" t="n">
        <v>104.1003</v>
      </c>
      <c r="C28" s="9" t="n">
        <v>104.1003</v>
      </c>
      <c r="D28" s="9" t="n">
        <v>35.7302</v>
      </c>
      <c r="E28" s="9" t="n">
        <v>35.7302</v>
      </c>
      <c r="F28" s="9" t="n">
        <v>0</v>
      </c>
      <c r="G28" s="9" t="n">
        <v>0</v>
      </c>
    </row>
    <row r="29">
      <c r="A29" s="10" t="n">
        <v>43040</v>
      </c>
      <c r="B29" s="11" t="n">
        <v>104.6525</v>
      </c>
      <c r="C29" s="11" t="n">
        <v>104.6525</v>
      </c>
      <c r="D29" s="11" t="n">
        <v>37.385</v>
      </c>
      <c r="E29" s="11" t="n">
        <v>37.385</v>
      </c>
      <c r="F29" s="11" t="n">
        <v>0</v>
      </c>
      <c r="G29" s="11" t="n">
        <v>0</v>
      </c>
    </row>
    <row r="30">
      <c r="A30" s="8" t="n">
        <v>43070</v>
      </c>
      <c r="B30" s="9" t="n">
        <v>111.2994</v>
      </c>
      <c r="C30" s="9" t="n">
        <v>111.2994</v>
      </c>
      <c r="D30" s="9" t="n">
        <v>34.3483</v>
      </c>
      <c r="E30" s="9" t="n">
        <v>34.3483</v>
      </c>
      <c r="F30" s="9" t="n">
        <v>0</v>
      </c>
      <c r="G30" s="9" t="n">
        <v>0</v>
      </c>
    </row>
    <row r="31">
      <c r="A31" s="10" t="n">
        <v>43101</v>
      </c>
      <c r="B31" s="11" t="n">
        <v>101.3198</v>
      </c>
      <c r="C31" s="11" t="n">
        <v>101.3198</v>
      </c>
      <c r="D31" s="11" t="n">
        <v>34.8789</v>
      </c>
      <c r="E31" s="11" t="n">
        <v>34.8789</v>
      </c>
      <c r="F31" s="11" t="n">
        <v>0</v>
      </c>
      <c r="G31" s="11" t="n">
        <v>0</v>
      </c>
    </row>
    <row r="32">
      <c r="A32" s="8" t="n">
        <v>43132</v>
      </c>
      <c r="B32" s="9" t="n">
        <v>102.4807</v>
      </c>
      <c r="C32" s="9" t="n">
        <v>102.4807</v>
      </c>
      <c r="D32" s="9" t="n">
        <v>35.2891</v>
      </c>
      <c r="E32" s="9" t="n">
        <v>35.2891</v>
      </c>
      <c r="F32" s="9" t="n">
        <v>0</v>
      </c>
      <c r="G32" s="9" t="n">
        <v>0</v>
      </c>
    </row>
    <row r="33">
      <c r="A33" s="10" t="n">
        <v>43160</v>
      </c>
      <c r="B33" s="11" t="n">
        <v>100.575</v>
      </c>
      <c r="C33" s="11" t="n">
        <v>100.575</v>
      </c>
      <c r="D33" s="11" t="n">
        <v>33.965</v>
      </c>
      <c r="E33" s="11" t="n">
        <v>33.965</v>
      </c>
      <c r="F33" s="11" t="n">
        <v>0</v>
      </c>
      <c r="G33" s="11" t="n">
        <v>0</v>
      </c>
    </row>
    <row r="34">
      <c r="A34" s="8" t="n">
        <v>43191</v>
      </c>
      <c r="B34" s="9" t="n">
        <v>108.2048</v>
      </c>
      <c r="C34" s="9" t="n">
        <v>108.2048</v>
      </c>
      <c r="D34" s="9" t="n">
        <v>36.8668</v>
      </c>
      <c r="E34" s="9" t="n">
        <v>36.8668</v>
      </c>
      <c r="F34" s="9" t="n">
        <v>0</v>
      </c>
      <c r="G34" s="9" t="n">
        <v>0</v>
      </c>
    </row>
    <row r="35">
      <c r="A35" s="10" t="n">
        <v>43221</v>
      </c>
      <c r="B35" s="11" t="n">
        <v>117.5346</v>
      </c>
      <c r="C35" s="11" t="n">
        <v>117.5346</v>
      </c>
      <c r="D35" s="11" t="n">
        <v>39.8139</v>
      </c>
      <c r="E35" s="11" t="n">
        <v>39.8139</v>
      </c>
      <c r="F35" s="11" t="n">
        <v>0</v>
      </c>
      <c r="G35" s="11" t="n">
        <v>0</v>
      </c>
    </row>
    <row r="36">
      <c r="A36" s="8" t="n">
        <v>43252</v>
      </c>
      <c r="B36" s="9" t="n">
        <v>116.4238</v>
      </c>
      <c r="C36" s="9" t="n">
        <v>116.4238</v>
      </c>
      <c r="D36" s="9" t="n">
        <v>38.0295</v>
      </c>
      <c r="E36" s="9" t="n">
        <v>38.0295</v>
      </c>
      <c r="F36" s="9" t="n">
        <v>0</v>
      </c>
      <c r="G36" s="9" t="n">
        <v>0</v>
      </c>
    </row>
    <row r="37">
      <c r="A37" s="10" t="n">
        <v>43282</v>
      </c>
      <c r="B37" s="11" t="n">
        <v>116.8665</v>
      </c>
      <c r="C37" s="11" t="n">
        <v>116.8665</v>
      </c>
      <c r="D37" s="11" t="n">
        <v>37.3995</v>
      </c>
      <c r="E37" s="11" t="n">
        <v>37.3995</v>
      </c>
      <c r="F37" s="11" t="n">
        <v>0</v>
      </c>
      <c r="G37" s="11" t="n">
        <v>-0</v>
      </c>
    </row>
    <row r="38">
      <c r="A38" s="8" t="n">
        <v>43313</v>
      </c>
      <c r="B38" s="9" t="n">
        <v>115.9103</v>
      </c>
      <c r="C38" s="9" t="n">
        <v>115.9103</v>
      </c>
      <c r="D38" s="9" t="n">
        <v>36.4229</v>
      </c>
      <c r="E38" s="9" t="n">
        <v>36.4229</v>
      </c>
      <c r="F38" s="9" t="n">
        <v>0</v>
      </c>
      <c r="G38" s="9" t="n">
        <v>0</v>
      </c>
    </row>
    <row r="39">
      <c r="A39" s="10" t="n">
        <v>43344</v>
      </c>
      <c r="B39" s="11" t="n">
        <v>113.2245</v>
      </c>
      <c r="C39" s="11" t="n">
        <v>113.2245</v>
      </c>
      <c r="D39" s="11" t="n">
        <v>33.772</v>
      </c>
      <c r="E39" s="11" t="n">
        <v>33.772</v>
      </c>
      <c r="F39" s="11" t="n">
        <v>0</v>
      </c>
      <c r="G39" s="11" t="n">
        <v>-0</v>
      </c>
    </row>
    <row r="40">
      <c r="A40" s="8" t="n">
        <v>43374</v>
      </c>
      <c r="B40" s="9" t="n">
        <v>112.9417</v>
      </c>
      <c r="C40" s="9" t="n">
        <v>112.9417</v>
      </c>
      <c r="D40" s="9" t="n">
        <v>36.2453</v>
      </c>
      <c r="E40" s="9" t="n">
        <v>36.2453</v>
      </c>
      <c r="F40" s="9" t="n">
        <v>0</v>
      </c>
      <c r="G40" s="9" t="n">
        <v>0</v>
      </c>
    </row>
    <row r="41">
      <c r="A41" s="10" t="n">
        <v>43405</v>
      </c>
      <c r="B41" s="11" t="n">
        <v>112.6648</v>
      </c>
      <c r="C41" s="11" t="n">
        <v>112.6648</v>
      </c>
      <c r="D41" s="11" t="n">
        <v>36.5546</v>
      </c>
      <c r="E41" s="11" t="n">
        <v>36.5546</v>
      </c>
      <c r="F41" s="11" t="n">
        <v>0</v>
      </c>
      <c r="G41" s="11" t="n">
        <v>-0</v>
      </c>
    </row>
    <row r="42">
      <c r="A42" s="8" t="n">
        <v>43435</v>
      </c>
      <c r="B42" s="9" t="n">
        <v>114.4041</v>
      </c>
      <c r="C42" s="9" t="n">
        <v>114.4041</v>
      </c>
      <c r="D42" s="9" t="n">
        <v>32.8534</v>
      </c>
      <c r="E42" s="9" t="n">
        <v>32.8534</v>
      </c>
      <c r="F42" s="9" t="n">
        <v>0</v>
      </c>
      <c r="G42" s="9" t="n">
        <v>0</v>
      </c>
    </row>
    <row r="43">
      <c r="A43" s="10" t="n">
        <v>43466</v>
      </c>
      <c r="B43" s="11" t="n">
        <v>113.1071</v>
      </c>
      <c r="C43" s="11" t="n">
        <v>113.1071</v>
      </c>
      <c r="D43" s="11" t="n">
        <v>36.7617</v>
      </c>
      <c r="E43" s="11" t="n">
        <v>36.7617</v>
      </c>
      <c r="F43" s="11" t="n">
        <v>0</v>
      </c>
      <c r="G43" s="11" t="n">
        <v>0</v>
      </c>
    </row>
    <row r="44">
      <c r="A44" s="8" t="n">
        <v>43497</v>
      </c>
      <c r="B44" s="9" t="n">
        <v>113.8223</v>
      </c>
      <c r="C44" s="9" t="n">
        <v>113.8223</v>
      </c>
      <c r="D44" s="9" t="n">
        <v>37.6939</v>
      </c>
      <c r="E44" s="9" t="n">
        <v>37.6939</v>
      </c>
      <c r="F44" s="9" t="n">
        <v>0</v>
      </c>
      <c r="G44" s="9" t="n">
        <v>0</v>
      </c>
    </row>
    <row r="45">
      <c r="A45" s="10" t="n">
        <v>43525</v>
      </c>
      <c r="B45" s="11" t="n">
        <v>114.1444</v>
      </c>
      <c r="C45" s="11" t="n">
        <v>114.1444</v>
      </c>
      <c r="D45" s="11" t="n">
        <v>36.5707</v>
      </c>
      <c r="E45" s="11" t="n">
        <v>36.5707</v>
      </c>
      <c r="F45" s="11" t="n">
        <v>0</v>
      </c>
      <c r="G45" s="11" t="n">
        <v>-0</v>
      </c>
    </row>
    <row r="46">
      <c r="A46" s="8" t="n">
        <v>43556</v>
      </c>
      <c r="B46" s="9" t="n">
        <v>113.2785</v>
      </c>
      <c r="C46" s="9" t="n">
        <v>113.2785</v>
      </c>
      <c r="D46" s="9" t="n">
        <v>36.0788</v>
      </c>
      <c r="E46" s="9" t="n">
        <v>36.0788</v>
      </c>
      <c r="F46" s="9" t="n">
        <v>0</v>
      </c>
      <c r="G46" s="9" t="n">
        <v>0</v>
      </c>
    </row>
    <row r="47">
      <c r="A47" s="10" t="n">
        <v>43586</v>
      </c>
      <c r="B47" s="11" t="n">
        <v>118.0243</v>
      </c>
      <c r="C47" s="11" t="n">
        <v>118.0243</v>
      </c>
      <c r="D47" s="11" t="n">
        <v>38.6718</v>
      </c>
      <c r="E47" s="11" t="n">
        <v>38.6718</v>
      </c>
      <c r="F47" s="11" t="n">
        <v>0</v>
      </c>
      <c r="G47" s="11" t="n">
        <v>-0</v>
      </c>
    </row>
    <row r="48">
      <c r="A48" s="8" t="n">
        <v>43617</v>
      </c>
      <c r="B48" s="9" t="n">
        <v>118.8557</v>
      </c>
      <c r="C48" s="9" t="n">
        <v>118.8557</v>
      </c>
      <c r="D48" s="9" t="n">
        <v>37.2375</v>
      </c>
      <c r="E48" s="9" t="n">
        <v>37.2375</v>
      </c>
      <c r="F48" s="9" t="n">
        <v>0</v>
      </c>
      <c r="G48" s="9" t="n">
        <v>0</v>
      </c>
    </row>
    <row r="49">
      <c r="A49" s="10" t="n">
        <v>43647</v>
      </c>
      <c r="B49" s="11" t="n">
        <v>113.8586</v>
      </c>
      <c r="C49" s="11" t="n">
        <v>113.8586</v>
      </c>
      <c r="D49" s="11" t="n">
        <v>36.2229</v>
      </c>
      <c r="E49" s="11" t="n">
        <v>36.2229</v>
      </c>
      <c r="F49" s="11" t="n">
        <v>0</v>
      </c>
      <c r="G49" s="11" t="n">
        <v>0</v>
      </c>
    </row>
    <row r="50">
      <c r="A50" s="8" t="n">
        <v>43678</v>
      </c>
      <c r="B50" s="9" t="n">
        <v>115.437</v>
      </c>
      <c r="C50" s="9" t="n">
        <v>115.437</v>
      </c>
      <c r="D50" s="9" t="n">
        <v>34.2718</v>
      </c>
      <c r="E50" s="9" t="n">
        <v>34.2718</v>
      </c>
      <c r="F50" s="9" t="n">
        <v>0</v>
      </c>
      <c r="G50" s="9" t="n">
        <v>0</v>
      </c>
    </row>
    <row r="51">
      <c r="A51" s="10" t="n">
        <v>43709</v>
      </c>
      <c r="B51" s="11" t="n">
        <v>114.6074</v>
      </c>
      <c r="C51" s="11" t="n">
        <v>114.6074</v>
      </c>
      <c r="D51" s="11" t="n">
        <v>33.1418</v>
      </c>
      <c r="E51" s="11" t="n">
        <v>33.1418</v>
      </c>
      <c r="F51" s="11" t="n">
        <v>0</v>
      </c>
      <c r="G51" s="11" t="n">
        <v>-0</v>
      </c>
    </row>
    <row r="52">
      <c r="A52" s="8" t="n">
        <v>43739</v>
      </c>
      <c r="B52" s="9" t="n">
        <v>116.623</v>
      </c>
      <c r="C52" s="9" t="n">
        <v>116.623</v>
      </c>
      <c r="D52" s="9" t="n">
        <v>35.6452</v>
      </c>
      <c r="E52" s="9" t="n">
        <v>35.6452</v>
      </c>
      <c r="F52" s="9" t="n">
        <v>0</v>
      </c>
      <c r="G52" s="9" t="n">
        <v>-0</v>
      </c>
    </row>
    <row r="53">
      <c r="A53" s="10" t="n">
        <v>43770</v>
      </c>
      <c r="B53" s="11" t="n">
        <v>117.8394</v>
      </c>
      <c r="C53" s="11" t="n">
        <v>117.8394</v>
      </c>
      <c r="D53" s="11" t="n">
        <v>35.671</v>
      </c>
      <c r="E53" s="11" t="n">
        <v>35.671</v>
      </c>
      <c r="F53" s="11" t="n">
        <v>0</v>
      </c>
      <c r="G53" s="11" t="n">
        <v>0</v>
      </c>
    </row>
    <row r="54">
      <c r="A54" s="8" t="n">
        <v>43800</v>
      </c>
      <c r="B54" s="9" t="n">
        <v>121.0782</v>
      </c>
      <c r="C54" s="9" t="n">
        <v>121.0782</v>
      </c>
      <c r="D54" s="9" t="n">
        <v>33.6476</v>
      </c>
      <c r="E54" s="9" t="n">
        <v>33.6476</v>
      </c>
      <c r="F54" s="9" t="n">
        <v>0</v>
      </c>
      <c r="G54" s="9" t="n">
        <v>0</v>
      </c>
    </row>
    <row r="55">
      <c r="A55" s="10" t="n">
        <v>43831</v>
      </c>
      <c r="B55" s="11" t="n">
        <v>113.9167</v>
      </c>
      <c r="C55" s="11" t="n">
        <v>113.9167</v>
      </c>
      <c r="D55" s="11" t="n">
        <v>35.0024</v>
      </c>
      <c r="E55" s="11" t="n">
        <v>35.0024</v>
      </c>
      <c r="F55" s="11" t="n">
        <v>0</v>
      </c>
      <c r="G55" s="11" t="n">
        <v>0</v>
      </c>
    </row>
    <row r="56">
      <c r="A56" s="8" t="n">
        <v>43862</v>
      </c>
      <c r="B56" s="9" t="n">
        <v>115.6618</v>
      </c>
      <c r="C56" s="9" t="n">
        <v>115.6618</v>
      </c>
      <c r="D56" s="9" t="n">
        <v>34.8987</v>
      </c>
      <c r="E56" s="9" t="n">
        <v>34.8987</v>
      </c>
      <c r="F56" s="9" t="n">
        <v>0</v>
      </c>
      <c r="G56" s="9" t="n">
        <v>0</v>
      </c>
    </row>
    <row r="57">
      <c r="A57" s="10" t="n">
        <v>43891</v>
      </c>
      <c r="B57" s="11" t="n">
        <v>108.8724</v>
      </c>
      <c r="C57" s="11" t="n">
        <v>108.8724</v>
      </c>
      <c r="D57" s="11" t="n">
        <v>34.7248</v>
      </c>
      <c r="E57" s="11" t="n">
        <v>34.7248</v>
      </c>
      <c r="F57" s="11" t="n">
        <v>0</v>
      </c>
      <c r="G57" s="11" t="n">
        <v>-0</v>
      </c>
    </row>
    <row r="58">
      <c r="A58" s="8" t="n">
        <v>43922</v>
      </c>
      <c r="B58" s="9" t="n">
        <v>80.1925</v>
      </c>
      <c r="C58" s="9" t="n">
        <v>80.1925</v>
      </c>
      <c r="D58" s="9" t="n">
        <v>28.5107</v>
      </c>
      <c r="E58" s="9" t="n">
        <v>28.5107</v>
      </c>
      <c r="F58" s="9" t="n">
        <v>0</v>
      </c>
      <c r="G58" s="9" t="n">
        <v>0</v>
      </c>
    </row>
    <row r="59">
      <c r="A59" s="10" t="n">
        <v>43952</v>
      </c>
      <c r="B59" s="11" t="n">
        <v>86.0168</v>
      </c>
      <c r="C59" s="11" t="n">
        <v>86.0168</v>
      </c>
      <c r="D59" s="11" t="n">
        <v>29.4694</v>
      </c>
      <c r="E59" s="11" t="n">
        <v>29.4694</v>
      </c>
      <c r="F59" s="11" t="n">
        <v>0</v>
      </c>
      <c r="G59" s="11" t="n">
        <v>0</v>
      </c>
    </row>
    <row r="60">
      <c r="A60" s="8" t="n">
        <v>43983</v>
      </c>
      <c r="B60" s="9" t="n">
        <v>95.35209999999999</v>
      </c>
      <c r="C60" s="9" t="n">
        <v>95.35209999999999</v>
      </c>
      <c r="D60" s="9" t="n">
        <v>32.1614</v>
      </c>
      <c r="E60" s="9" t="n">
        <v>32.1614</v>
      </c>
      <c r="F60" s="9" t="n">
        <v>0</v>
      </c>
      <c r="G60" s="9" t="n">
        <v>0</v>
      </c>
    </row>
    <row r="61">
      <c r="A61" s="10" t="n">
        <v>44013</v>
      </c>
      <c r="B61" s="11" t="n">
        <v>101.4727</v>
      </c>
      <c r="C61" s="11" t="n">
        <v>101.4727</v>
      </c>
      <c r="D61" s="11" t="n">
        <v>32.0697</v>
      </c>
      <c r="E61" s="11" t="n">
        <v>32.0697</v>
      </c>
      <c r="F61" s="11" t="n">
        <v>0</v>
      </c>
      <c r="G61" s="11" t="n">
        <v>0</v>
      </c>
    </row>
    <row r="62">
      <c r="A62" s="8" t="n">
        <v>44044</v>
      </c>
      <c r="B62" s="9" t="n">
        <v>105.3196</v>
      </c>
      <c r="C62" s="9" t="n">
        <v>105.3196</v>
      </c>
      <c r="D62" s="9" t="n">
        <v>31.202</v>
      </c>
      <c r="E62" s="9" t="n">
        <v>31.202</v>
      </c>
      <c r="F62" s="9" t="n">
        <v>0</v>
      </c>
      <c r="G62" s="9" t="n">
        <v>0</v>
      </c>
    </row>
    <row r="63">
      <c r="A63" s="10" t="n">
        <v>44075</v>
      </c>
      <c r="B63" s="11" t="n">
        <v>105.9593</v>
      </c>
      <c r="C63" s="11" t="n">
        <v>105.9593</v>
      </c>
      <c r="D63" s="11" t="n">
        <v>31.4044</v>
      </c>
      <c r="E63" s="11" t="n">
        <v>31.4044</v>
      </c>
      <c r="F63" s="11" t="n">
        <v>0</v>
      </c>
      <c r="G63" s="11" t="n">
        <v>0</v>
      </c>
    </row>
    <row r="64">
      <c r="A64" s="8" t="n">
        <v>44105</v>
      </c>
      <c r="B64" s="9" t="n">
        <v>109.2135</v>
      </c>
      <c r="C64" s="9" t="n">
        <v>109.2135</v>
      </c>
      <c r="D64" s="9" t="n">
        <v>33.8815</v>
      </c>
      <c r="E64" s="9" t="n">
        <v>33.8815</v>
      </c>
      <c r="F64" s="9" t="n">
        <v>0</v>
      </c>
      <c r="G64" s="9" t="n">
        <v>0</v>
      </c>
    </row>
    <row r="65">
      <c r="A65" s="10" t="n">
        <v>44136</v>
      </c>
      <c r="B65" s="11" t="n">
        <v>109.7095</v>
      </c>
      <c r="C65" s="11" t="n">
        <v>109.7095</v>
      </c>
      <c r="D65" s="11" t="n">
        <v>34.0091</v>
      </c>
      <c r="E65" s="11" t="n">
        <v>34.0091</v>
      </c>
      <c r="F65" s="11" t="n">
        <v>0</v>
      </c>
      <c r="G65" s="11" t="n">
        <v>0</v>
      </c>
    </row>
    <row r="66">
      <c r="A66" s="8" t="n">
        <v>44166</v>
      </c>
      <c r="B66" s="9" t="n">
        <v>116.5227</v>
      </c>
      <c r="C66" s="9" t="n">
        <v>116.5227</v>
      </c>
      <c r="D66" s="9" t="n">
        <v>32.8851</v>
      </c>
      <c r="E66" s="9" t="n">
        <v>32.8851</v>
      </c>
      <c r="F66" s="9" t="n">
        <v>0</v>
      </c>
      <c r="G66" s="9" t="n">
        <v>0</v>
      </c>
    </row>
    <row r="67">
      <c r="A67" s="10" t="n">
        <v>44197</v>
      </c>
      <c r="B67" s="11" t="n">
        <v>104.1174</v>
      </c>
      <c r="C67" s="11" t="n">
        <v>104.1174</v>
      </c>
      <c r="D67" s="11" t="n">
        <v>31.2167</v>
      </c>
      <c r="E67" s="11" t="n">
        <v>31.2167</v>
      </c>
      <c r="F67" s="11" t="n">
        <v>0</v>
      </c>
      <c r="G67" s="11" t="n">
        <v>0</v>
      </c>
    </row>
    <row r="68">
      <c r="A68" s="8" t="n">
        <v>44228</v>
      </c>
      <c r="B68" s="9" t="n">
        <v>107.9759</v>
      </c>
      <c r="C68" s="9" t="n">
        <v>107.9759</v>
      </c>
      <c r="D68" s="9" t="n">
        <v>33.1421</v>
      </c>
      <c r="E68" s="9" t="n">
        <v>33.1421</v>
      </c>
      <c r="F68" s="9" t="n">
        <v>0</v>
      </c>
      <c r="G68" s="9" t="n">
        <v>0</v>
      </c>
    </row>
    <row r="69">
      <c r="A69" s="10" t="n">
        <v>44256</v>
      </c>
      <c r="B69" s="11" t="n">
        <v>114.5979</v>
      </c>
      <c r="C69" s="11" t="n">
        <v>114.5979</v>
      </c>
      <c r="D69" s="11" t="n">
        <v>36.0429</v>
      </c>
      <c r="E69" s="11" t="n">
        <v>36.0429</v>
      </c>
      <c r="F69" s="11" t="n">
        <v>0</v>
      </c>
      <c r="G69" s="11" t="n">
        <v>-0</v>
      </c>
    </row>
    <row r="70">
      <c r="A70" s="8" t="n">
        <v>44287</v>
      </c>
      <c r="B70" s="9" t="n">
        <v>114.9671</v>
      </c>
      <c r="C70" s="9" t="n">
        <v>114.9671</v>
      </c>
      <c r="D70" s="9" t="n">
        <v>34.6875</v>
      </c>
      <c r="E70" s="9" t="n">
        <v>34.6875</v>
      </c>
      <c r="F70" s="9" t="n">
        <v>0</v>
      </c>
      <c r="G70" s="9" t="n">
        <v>0</v>
      </c>
    </row>
    <row r="71">
      <c r="A71" s="10" t="n">
        <v>44317</v>
      </c>
      <c r="B71" s="11" t="n">
        <v>119.4982</v>
      </c>
      <c r="C71" s="11" t="n">
        <v>119.4982</v>
      </c>
      <c r="D71" s="11" t="n">
        <v>35.3476</v>
      </c>
      <c r="E71" s="11" t="n">
        <v>35.3476</v>
      </c>
      <c r="F71" s="11" t="n">
        <v>0</v>
      </c>
      <c r="G71" s="11" t="n">
        <v>0</v>
      </c>
    </row>
    <row r="72">
      <c r="A72" s="8" t="n">
        <v>44348</v>
      </c>
      <c r="B72" s="9" t="n">
        <v>118.5643</v>
      </c>
      <c r="C72" s="9" t="n">
        <v>118.5643</v>
      </c>
      <c r="D72" s="9" t="n">
        <v>35.2105</v>
      </c>
      <c r="E72" s="9" t="n">
        <v>35.2105</v>
      </c>
      <c r="F72" s="9" t="n">
        <v>0</v>
      </c>
      <c r="G72" s="9" t="n">
        <v>0</v>
      </c>
    </row>
    <row r="73">
      <c r="A73" s="10" t="n">
        <v>44378</v>
      </c>
      <c r="B73" s="11" t="n">
        <v>120.1255</v>
      </c>
      <c r="C73" s="11" t="n">
        <v>120.1255</v>
      </c>
      <c r="D73" s="11" t="n">
        <v>34.0764</v>
      </c>
      <c r="E73" s="11" t="n">
        <v>34.0764</v>
      </c>
      <c r="F73" s="11" t="n">
        <v>0</v>
      </c>
      <c r="G73" s="11" t="n">
        <v>0</v>
      </c>
    </row>
    <row r="74">
      <c r="A74" s="8" t="n">
        <v>44409</v>
      </c>
      <c r="B74" s="9" t="n">
        <v>115.6776</v>
      </c>
      <c r="C74" s="9" t="n">
        <v>115.6776</v>
      </c>
      <c r="D74" s="9" t="n">
        <v>32.3839</v>
      </c>
      <c r="E74" s="9" t="n">
        <v>32.3839</v>
      </c>
      <c r="F74" s="9" t="n">
        <v>0</v>
      </c>
      <c r="G74" s="9" t="n">
        <v>-0</v>
      </c>
    </row>
    <row r="75">
      <c r="A75" s="10" t="n">
        <v>44440</v>
      </c>
      <c r="B75" s="11" t="n">
        <v>117.0811</v>
      </c>
      <c r="C75" s="11" t="n">
        <v>117.0811</v>
      </c>
      <c r="D75" s="11" t="n">
        <v>31.9289</v>
      </c>
      <c r="E75" s="11" t="n">
        <v>31.9289</v>
      </c>
      <c r="F75" s="11" t="n">
        <v>0</v>
      </c>
      <c r="G75" s="11" t="n">
        <v>0</v>
      </c>
    </row>
    <row r="76">
      <c r="A76" s="8" t="n">
        <v>44470</v>
      </c>
      <c r="B76" s="9" t="n">
        <v>121.0874</v>
      </c>
      <c r="C76" s="9" t="n">
        <v>121.0874</v>
      </c>
      <c r="D76" s="9" t="n">
        <v>33.7565</v>
      </c>
      <c r="E76" s="9" t="n">
        <v>33.7565</v>
      </c>
      <c r="F76" s="9" t="n">
        <v>0</v>
      </c>
      <c r="G76" s="9" t="n">
        <v>0</v>
      </c>
    </row>
    <row r="77">
      <c r="A77" s="10" t="n">
        <v>44501</v>
      </c>
      <c r="B77" s="11" t="n">
        <v>121.1826</v>
      </c>
      <c r="C77" s="11" t="n">
        <v>121.1826</v>
      </c>
      <c r="D77" s="11" t="n">
        <v>35.5007</v>
      </c>
      <c r="E77" s="11" t="n">
        <v>35.5007</v>
      </c>
      <c r="F77" s="11" t="n">
        <v>0</v>
      </c>
      <c r="G77" s="11" t="n">
        <v>0</v>
      </c>
    </row>
    <row r="78">
      <c r="A78" s="8" t="n">
        <v>44531</v>
      </c>
      <c r="B78" s="9" t="n">
        <v>129.4005</v>
      </c>
      <c r="C78" s="9" t="n">
        <v>129.4005</v>
      </c>
      <c r="D78" s="9" t="n">
        <v>34.2781</v>
      </c>
      <c r="E78" s="9" t="n">
        <v>34.2781</v>
      </c>
      <c r="F78" s="9" t="n">
        <v>0</v>
      </c>
      <c r="G78" s="9" t="n">
        <v>0</v>
      </c>
    </row>
    <row r="79">
      <c r="A79" s="10" t="n">
        <v>44562</v>
      </c>
      <c r="B79" s="11" t="n">
        <v>111.9276</v>
      </c>
      <c r="C79" s="11" t="n">
        <v>111.9276</v>
      </c>
      <c r="D79" s="11" t="n">
        <v>32.3363</v>
      </c>
      <c r="E79" s="11" t="n">
        <v>32.3363</v>
      </c>
      <c r="F79" s="11" t="n">
        <v>0</v>
      </c>
      <c r="G79" s="11" t="n">
        <v>-0</v>
      </c>
    </row>
    <row r="80">
      <c r="A80" s="8" t="n">
        <v>44593</v>
      </c>
      <c r="B80" s="9" t="n">
        <v>121.1304</v>
      </c>
      <c r="C80" s="9" t="n">
        <v>121.1304</v>
      </c>
      <c r="D80" s="9" t="n">
        <v>35.0724</v>
      </c>
      <c r="E80" s="9" t="n">
        <v>35.0724</v>
      </c>
      <c r="F80" s="9" t="n">
        <v>0</v>
      </c>
      <c r="G80" s="9" t="n">
        <v>0</v>
      </c>
    </row>
    <row r="81">
      <c r="A81" s="10" t="n">
        <v>44621</v>
      </c>
      <c r="B81" s="11" t="n">
        <v>127.2326</v>
      </c>
      <c r="C81" s="11" t="n">
        <v>127.2326</v>
      </c>
      <c r="D81" s="11" t="n">
        <v>39.2687</v>
      </c>
      <c r="E81" s="11" t="n">
        <v>39.2687</v>
      </c>
      <c r="F81" s="11" t="n">
        <v>0</v>
      </c>
      <c r="G81" s="11" t="n">
        <v>0</v>
      </c>
    </row>
    <row r="82">
      <c r="A82" s="8" t="n">
        <v>44652</v>
      </c>
      <c r="B82" s="9" t="n">
        <v>127.9456</v>
      </c>
      <c r="C82" s="9" t="n">
        <v>127.9456</v>
      </c>
      <c r="D82" s="9" t="n">
        <v>40.4918</v>
      </c>
      <c r="E82" s="9" t="n">
        <v>40.4918</v>
      </c>
      <c r="F82" s="9" t="n">
        <v>0</v>
      </c>
      <c r="G82" s="9" t="n">
        <v>0</v>
      </c>
    </row>
    <row r="83">
      <c r="A83" s="10" t="n">
        <v>44682</v>
      </c>
      <c r="B83" s="11" t="n">
        <v>130.1149</v>
      </c>
      <c r="C83" s="11" t="n">
        <v>130.1149</v>
      </c>
      <c r="D83" s="11" t="n">
        <v>42.2931</v>
      </c>
      <c r="E83" s="11" t="n">
        <v>42.2931</v>
      </c>
      <c r="F83" s="11" t="n">
        <v>0</v>
      </c>
      <c r="G83" s="11" t="n">
        <v>0</v>
      </c>
    </row>
    <row r="84">
      <c r="A84" s="8" t="n">
        <v>44713</v>
      </c>
      <c r="B84" s="9" t="n">
        <v>128.9675</v>
      </c>
      <c r="C84" s="9" t="n">
        <v>128.9675</v>
      </c>
      <c r="D84" s="9" t="n">
        <v>41.8367</v>
      </c>
      <c r="E84" s="9" t="n">
        <v>41.8367</v>
      </c>
      <c r="F84" s="9" t="n">
        <v>0</v>
      </c>
      <c r="G84" s="9" t="n">
        <v>0</v>
      </c>
    </row>
    <row r="85">
      <c r="A85" s="10" t="n">
        <v>44743</v>
      </c>
      <c r="B85" s="11" t="n">
        <v>128.151</v>
      </c>
      <c r="C85" s="11" t="n">
        <v>128.151</v>
      </c>
      <c r="D85" s="11" t="n">
        <v>38.9144</v>
      </c>
      <c r="E85" s="11" t="n">
        <v>38.9144</v>
      </c>
      <c r="F85" s="11" t="n">
        <v>0</v>
      </c>
      <c r="G85" s="11" t="n">
        <v>0</v>
      </c>
    </row>
    <row r="86">
      <c r="A86" s="8" t="n">
        <v>44774</v>
      </c>
      <c r="B86" s="9" t="n">
        <v>127.3582</v>
      </c>
      <c r="C86" s="9" t="n">
        <v>127.3582</v>
      </c>
      <c r="D86" s="9" t="n">
        <v>38.6313</v>
      </c>
      <c r="E86" s="9" t="n">
        <v>38.6313</v>
      </c>
      <c r="F86" s="9" t="n">
        <v>0</v>
      </c>
      <c r="G86" s="9" t="n">
        <v>0</v>
      </c>
    </row>
    <row r="87">
      <c r="A87" s="10" t="n">
        <v>44805</v>
      </c>
      <c r="B87" s="11" t="n">
        <v>128.2303</v>
      </c>
      <c r="C87" s="11" t="n">
        <v>128.2303</v>
      </c>
      <c r="D87" s="11" t="n">
        <v>37.6339</v>
      </c>
      <c r="E87" s="11" t="n">
        <v>37.6339</v>
      </c>
      <c r="F87" s="11" t="n">
        <v>0</v>
      </c>
      <c r="G87" s="11" t="n">
        <v>0</v>
      </c>
    </row>
    <row r="88">
      <c r="A88" s="8" t="n">
        <v>44835</v>
      </c>
      <c r="B88" s="9" t="n">
        <v>129.7336</v>
      </c>
      <c r="C88" s="9" t="n">
        <v>129.7336</v>
      </c>
      <c r="D88" s="9" t="n">
        <v>39.2781</v>
      </c>
      <c r="E88" s="9" t="n">
        <v>39.2781</v>
      </c>
      <c r="F88" s="9" t="n">
        <v>0</v>
      </c>
      <c r="G88" s="9" t="n">
        <v>-0</v>
      </c>
    </row>
    <row r="89">
      <c r="A89" s="10" t="n">
        <v>44866</v>
      </c>
      <c r="B89" s="11" t="n">
        <v>128.3533</v>
      </c>
      <c r="C89" s="11" t="n">
        <v>128.3533</v>
      </c>
      <c r="D89" s="11" t="n">
        <v>40.6248</v>
      </c>
      <c r="E89" s="11" t="n">
        <v>40.6248</v>
      </c>
      <c r="F89" s="11" t="n">
        <v>0</v>
      </c>
      <c r="G89" s="11" t="n">
        <v>0</v>
      </c>
    </row>
    <row r="90">
      <c r="A90" s="8" t="n">
        <v>44896</v>
      </c>
      <c r="B90" s="9" t="n">
        <v>132.8802</v>
      </c>
      <c r="C90" s="9" t="n">
        <v>132.8802</v>
      </c>
      <c r="D90" s="9" t="n">
        <v>38.2916</v>
      </c>
      <c r="E90" s="9" t="n">
        <v>38.2916</v>
      </c>
      <c r="F90" s="9" t="n">
        <v>0</v>
      </c>
      <c r="G90" s="9" t="n">
        <v>0</v>
      </c>
    </row>
    <row r="91">
      <c r="A91" s="10" t="n">
        <v>44927</v>
      </c>
      <c r="B91" s="11" t="n">
        <v>125.9756</v>
      </c>
      <c r="C91" s="11" t="n">
        <v>125.9756</v>
      </c>
      <c r="D91" s="11" t="n">
        <v>38.567</v>
      </c>
      <c r="E91" s="11" t="n">
        <v>38.567</v>
      </c>
      <c r="F91" s="11" t="n">
        <v>0</v>
      </c>
      <c r="G91" s="11" t="n">
        <v>0</v>
      </c>
    </row>
    <row r="92">
      <c r="A92" s="8" t="n">
        <v>44958</v>
      </c>
      <c r="B92" s="9" t="n">
        <v>129.4066</v>
      </c>
      <c r="C92" s="9" t="n">
        <v>129.4066</v>
      </c>
      <c r="D92" s="9" t="n">
        <v>39.6924</v>
      </c>
      <c r="E92" s="9" t="n">
        <v>39.6924</v>
      </c>
      <c r="F92" s="9" t="n">
        <v>0</v>
      </c>
      <c r="G92" s="9" t="n">
        <v>0</v>
      </c>
    </row>
    <row r="93">
      <c r="A93" s="10" t="n">
        <v>44986</v>
      </c>
      <c r="B93" s="11" t="n">
        <v>129.5783</v>
      </c>
      <c r="C93" s="11" t="n">
        <v>129.5783</v>
      </c>
      <c r="D93" s="11" t="n">
        <v>40.6928</v>
      </c>
      <c r="E93" s="11" t="n">
        <v>40.6928</v>
      </c>
      <c r="F93" s="11" t="n">
        <v>0</v>
      </c>
      <c r="G93" s="11" t="n">
        <v>-0</v>
      </c>
    </row>
    <row r="94">
      <c r="A94" s="8" t="n">
        <v>45017</v>
      </c>
      <c r="B94" s="9" t="n">
        <v>127.2995</v>
      </c>
      <c r="C94" s="9" t="n">
        <v>127.2995</v>
      </c>
      <c r="D94" s="9" t="n">
        <v>38.3668</v>
      </c>
      <c r="E94" s="9" t="n">
        <v>38.3668</v>
      </c>
      <c r="F94" s="9" t="n">
        <v>0</v>
      </c>
      <c r="G94" s="9" t="n">
        <v>0</v>
      </c>
    </row>
    <row r="95">
      <c r="A95" s="10" t="n">
        <v>45047</v>
      </c>
      <c r="B95" s="11" t="n">
        <v>130.0683</v>
      </c>
      <c r="C95" s="11" t="n">
        <v>130.0683</v>
      </c>
      <c r="D95" s="11" t="n">
        <v>40.6787</v>
      </c>
      <c r="E95" s="11" t="n">
        <v>40.6787</v>
      </c>
      <c r="F95" s="11" t="n">
        <v>0</v>
      </c>
      <c r="G95" s="11" t="n">
        <v>0</v>
      </c>
    </row>
    <row r="96">
      <c r="A96" s="8" t="n">
        <v>45078</v>
      </c>
      <c r="B96" s="9" t="n">
        <v>132.4778</v>
      </c>
      <c r="C96" s="9" t="n">
        <v>132.4778</v>
      </c>
      <c r="D96" s="9" t="n">
        <v>40.5882</v>
      </c>
      <c r="E96" s="9" t="n">
        <v>40.5882</v>
      </c>
      <c r="F96" s="9" t="n">
        <v>0</v>
      </c>
      <c r="G96" s="9" t="n">
        <v>0</v>
      </c>
    </row>
    <row r="97">
      <c r="A97" s="10" t="n">
        <v>45108</v>
      </c>
      <c r="B97" s="11" t="n">
        <v>130.7422</v>
      </c>
      <c r="C97" s="11" t="n">
        <v>130.7422</v>
      </c>
      <c r="D97" s="11" t="n">
        <v>38.7826</v>
      </c>
      <c r="E97" s="11" t="n">
        <v>38.7826</v>
      </c>
      <c r="F97" s="11" t="n">
        <v>0</v>
      </c>
      <c r="G97" s="11" t="n">
        <v>0</v>
      </c>
    </row>
    <row r="98">
      <c r="A98" s="8" t="n">
        <v>45139</v>
      </c>
      <c r="B98" s="9" t="n">
        <v>128.6522</v>
      </c>
      <c r="C98" s="9" t="n">
        <v>128.6522</v>
      </c>
      <c r="D98" s="9" t="n">
        <v>39.197</v>
      </c>
      <c r="E98" s="9" t="n">
        <v>39.197</v>
      </c>
      <c r="F98" s="9" t="n">
        <v>0</v>
      </c>
      <c r="G98" s="9" t="n">
        <v>0</v>
      </c>
    </row>
    <row r="99">
      <c r="A99" s="10" t="n">
        <v>45170</v>
      </c>
      <c r="B99" s="11" t="n">
        <v>132.0654</v>
      </c>
      <c r="C99" s="11" t="n">
        <v>132.0654</v>
      </c>
      <c r="D99" s="11" t="n">
        <v>38.4684</v>
      </c>
      <c r="E99" s="11" t="n">
        <v>38.4684</v>
      </c>
      <c r="F99" s="11" t="n">
        <v>0</v>
      </c>
      <c r="G99" s="11" t="n">
        <v>0</v>
      </c>
    </row>
    <row r="100">
      <c r="A100" s="8" t="n">
        <v>45200</v>
      </c>
      <c r="B100" s="9" t="n">
        <v>130.2538</v>
      </c>
      <c r="C100" s="9" t="n">
        <v>130.2538</v>
      </c>
      <c r="D100" s="9" t="n">
        <v>39.0455</v>
      </c>
      <c r="E100" s="9" t="n">
        <v>39.0455</v>
      </c>
      <c r="F100" s="9" t="n">
        <v>0</v>
      </c>
      <c r="G100" s="9" t="n">
        <v>-0</v>
      </c>
    </row>
    <row r="101">
      <c r="A101" s="10" t="n">
        <v>45231</v>
      </c>
      <c r="B101" s="11" t="n">
        <v>128.8504</v>
      </c>
      <c r="C101" s="11" t="n">
        <v>128.8504</v>
      </c>
      <c r="D101" s="11" t="n">
        <v>39.7265</v>
      </c>
      <c r="E101" s="11" t="n">
        <v>39.7265</v>
      </c>
      <c r="F101" s="11" t="n">
        <v>0</v>
      </c>
      <c r="G101" s="11" t="n">
        <v>0</v>
      </c>
    </row>
    <row r="102">
      <c r="A102" s="8" t="n">
        <v>45261</v>
      </c>
      <c r="B102" s="9" t="n">
        <v>123.9155</v>
      </c>
      <c r="C102" s="9" t="n">
        <v>123.9155</v>
      </c>
      <c r="D102" s="9" t="n">
        <v>34.2254</v>
      </c>
      <c r="E102" s="9" t="n">
        <v>34.2254</v>
      </c>
      <c r="F102" s="9" t="n">
        <v>0</v>
      </c>
      <c r="G102" s="9" t="n">
        <v>0</v>
      </c>
    </row>
    <row r="103">
      <c r="A103" s="10" t="n">
        <v>45292</v>
      </c>
      <c r="B103" s="11" t="n">
        <v>126.8113</v>
      </c>
      <c r="C103" s="11" t="n">
        <v>126.8113</v>
      </c>
      <c r="D103" s="11" t="n">
        <v>38.7081</v>
      </c>
      <c r="E103" s="11" t="n">
        <v>38.7081</v>
      </c>
      <c r="F103" s="11" t="n">
        <v>0</v>
      </c>
      <c r="G103" s="11" t="n">
        <v>-0</v>
      </c>
    </row>
    <row r="104">
      <c r="A104" s="8" t="n">
        <v>45323</v>
      </c>
      <c r="B104" s="9" t="n">
        <v>131.7032</v>
      </c>
      <c r="C104" s="9" t="n">
        <v>131.7032</v>
      </c>
      <c r="D104" s="9" t="n">
        <v>39.6822</v>
      </c>
      <c r="E104" s="9" t="n">
        <v>39.6822</v>
      </c>
      <c r="F104" s="9" t="n">
        <v>0</v>
      </c>
      <c r="G104" s="9" t="n">
        <v>0</v>
      </c>
    </row>
    <row r="105">
      <c r="A105" s="10" t="n">
        <v>45352</v>
      </c>
      <c r="B105" s="11" t="n">
        <v>131.4956</v>
      </c>
      <c r="C105" s="11" t="n">
        <v>131.4956</v>
      </c>
      <c r="D105" s="11" t="n">
        <v>38.3323</v>
      </c>
      <c r="E105" s="11" t="n">
        <v>38.3323</v>
      </c>
      <c r="F105" s="11" t="n">
        <v>0</v>
      </c>
      <c r="G105" s="11" t="n">
        <v>-0</v>
      </c>
    </row>
    <row r="106">
      <c r="A106" s="8" t="n">
        <v>45383</v>
      </c>
      <c r="B106" s="9" t="n">
        <v>132.0478</v>
      </c>
      <c r="C106" s="9" t="n">
        <v>132.0478</v>
      </c>
      <c r="D106" s="9" t="n">
        <v>41.5254</v>
      </c>
      <c r="E106" s="9" t="n">
        <v>41.5254</v>
      </c>
      <c r="F106" s="9" t="n">
        <v>0</v>
      </c>
      <c r="G106" s="9" t="n">
        <v>0</v>
      </c>
    </row>
    <row r="107">
      <c r="A107" s="10" t="n">
        <v>45413</v>
      </c>
      <c r="B107" s="11" t="n">
        <v>134.7221</v>
      </c>
      <c r="C107" s="11" t="n">
        <v>134.7221</v>
      </c>
      <c r="D107" s="11" t="n">
        <v>41.1695</v>
      </c>
      <c r="E107" s="11" t="n">
        <v>41.1695</v>
      </c>
      <c r="F107" s="11" t="n">
        <v>0</v>
      </c>
      <c r="G107" s="11" t="n">
        <v>0</v>
      </c>
    </row>
    <row r="108">
      <c r="A108" s="8" t="n">
        <v>45444</v>
      </c>
      <c r="B108" s="9" t="n">
        <v>133.3931</v>
      </c>
      <c r="C108" s="9" t="n">
        <v>133.3931</v>
      </c>
      <c r="D108" s="9" t="n">
        <v>39.5182</v>
      </c>
      <c r="E108" s="9" t="n">
        <v>39.5182</v>
      </c>
      <c r="F108" s="9" t="n">
        <v>0</v>
      </c>
      <c r="G108" s="9" t="n">
        <v>0</v>
      </c>
    </row>
    <row r="109">
      <c r="A109" s="10" t="n">
        <v>45474</v>
      </c>
      <c r="B109" s="11" t="n">
        <v>130.7962</v>
      </c>
      <c r="C109" s="11" t="n">
        <v>130.7962</v>
      </c>
      <c r="D109" s="11" t="n">
        <v>39.3264</v>
      </c>
      <c r="E109" s="11" t="n">
        <v>39.3264</v>
      </c>
      <c r="F109" s="11" t="n">
        <v>0</v>
      </c>
      <c r="G109" s="11" t="n">
        <v>0</v>
      </c>
    </row>
    <row r="110">
      <c r="A110" s="8" t="n">
        <v>45505</v>
      </c>
      <c r="B110" s="9" t="n">
        <v>132.1769</v>
      </c>
      <c r="C110" s="9" t="n">
        <v>132.1769</v>
      </c>
      <c r="D110" s="9" t="n">
        <v>38.974</v>
      </c>
      <c r="E110" s="9" t="n">
        <v>38.974</v>
      </c>
      <c r="F110" s="9" t="n">
        <v>0</v>
      </c>
      <c r="G110" s="9" t="n">
        <v>0</v>
      </c>
    </row>
    <row r="111">
      <c r="A111" s="10" t="n">
        <v>45536</v>
      </c>
      <c r="B111" s="11" t="n">
        <v>130.5508</v>
      </c>
      <c r="C111" s="11" t="n">
        <v>130.5508</v>
      </c>
      <c r="D111" s="11" t="n">
        <v>36.4627</v>
      </c>
      <c r="E111" s="11" t="n">
        <v>36.4627</v>
      </c>
      <c r="F111" s="11" t="n">
        <v>0</v>
      </c>
      <c r="G111" s="11" t="n">
        <v>-0</v>
      </c>
    </row>
    <row r="112">
      <c r="A112" s="8" t="n">
        <v>45566</v>
      </c>
      <c r="B112" s="9" t="n">
        <v>129.5854</v>
      </c>
      <c r="C112" s="9" t="n">
        <v>129.5854</v>
      </c>
      <c r="D112" s="9" t="n">
        <v>39.0291</v>
      </c>
      <c r="E112" s="9" t="n">
        <v>39.0291</v>
      </c>
      <c r="F112" s="9" t="n">
        <v>0</v>
      </c>
      <c r="G112" s="9" t="n">
        <v>-0</v>
      </c>
    </row>
    <row r="113">
      <c r="A113" s="10" t="n">
        <v>45597</v>
      </c>
      <c r="B113" s="11" t="n">
        <v>132.3427</v>
      </c>
      <c r="C113" s="11" t="n">
        <v>132.3427</v>
      </c>
      <c r="D113" s="11" t="n">
        <v>39.3978</v>
      </c>
      <c r="E113" s="11" t="n">
        <v>39.3978</v>
      </c>
      <c r="F113" s="11" t="n">
        <v>0</v>
      </c>
      <c r="G113" s="11" t="n">
        <v>0</v>
      </c>
    </row>
    <row r="114">
      <c r="A114" s="8" t="n">
        <v>45627</v>
      </c>
      <c r="B114" s="9" t="n">
        <v>131.6926</v>
      </c>
      <c r="C114" s="9" t="n">
        <v>131.6926</v>
      </c>
      <c r="D114" s="9" t="n">
        <v>35.5418</v>
      </c>
      <c r="E114" s="9" t="n">
        <v>35.5418</v>
      </c>
      <c r="F114" s="9" t="n">
        <v>0</v>
      </c>
      <c r="G114" s="9" t="n">
        <v>0</v>
      </c>
    </row>
    <row r="115">
      <c r="A115" s="10" t="n">
        <v>45658</v>
      </c>
      <c r="B115" s="11" t="n">
        <v>124.336</v>
      </c>
      <c r="C115" s="11" t="n">
        <v>124.336</v>
      </c>
      <c r="D115" s="11" t="n">
        <v>37.3448</v>
      </c>
      <c r="E115" s="11" t="n">
        <v>37.3448</v>
      </c>
      <c r="F115" s="11" t="n">
        <v>0</v>
      </c>
      <c r="G115" s="11" t="n">
        <v>0</v>
      </c>
    </row>
    <row r="116">
      <c r="A116" s="8" t="n">
        <v>45689</v>
      </c>
      <c r="B116" s="9" t="n">
        <v>129.2935</v>
      </c>
      <c r="C116" s="9" t="n">
        <v>129.2935</v>
      </c>
      <c r="D116" s="9" t="n">
        <v>38.8097</v>
      </c>
      <c r="E116" s="9" t="n">
        <v>38.8097</v>
      </c>
      <c r="F116" s="9" t="n">
        <v>0</v>
      </c>
      <c r="G116" s="9" t="n">
        <v>0</v>
      </c>
    </row>
    <row r="117">
      <c r="A117" s="10" t="n">
        <v>45717</v>
      </c>
      <c r="B117" s="11" t="n">
        <v>131.6288</v>
      </c>
      <c r="C117" s="11" t="n">
        <v>131.6288</v>
      </c>
      <c r="D117" s="11" t="n">
        <v>39.1693</v>
      </c>
      <c r="E117" s="11" t="n">
        <v>39.1693</v>
      </c>
      <c r="F117" s="11" t="n">
        <v>0</v>
      </c>
      <c r="G117" s="11" t="n">
        <v>-0</v>
      </c>
    </row>
    <row r="118">
      <c r="A118" s="8" t="n">
        <v>45748</v>
      </c>
      <c r="B118" s="9" t="n">
        <v>123.7966</v>
      </c>
      <c r="C118" s="9" t="n">
        <v>123.7966</v>
      </c>
      <c r="D118" s="9" t="n">
        <v>37.5262</v>
      </c>
      <c r="E118" s="9" t="n">
        <v>37.5262</v>
      </c>
      <c r="F118" s="9" t="n">
        <v>0</v>
      </c>
      <c r="G118" s="9" t="n">
        <v>0</v>
      </c>
    </row>
    <row r="119">
      <c r="A119" s="10" t="n">
        <v>45778</v>
      </c>
      <c r="B119" s="11" t="n">
        <v>134.0009</v>
      </c>
      <c r="C119" s="11" t="n">
        <v>134.0009</v>
      </c>
      <c r="D119" s="11" t="n">
        <v>40.1956</v>
      </c>
      <c r="E119" s="11" t="n">
        <v>40.1956</v>
      </c>
      <c r="F119" s="11" t="n">
        <v>0</v>
      </c>
      <c r="G119" s="11" t="n">
        <v>0</v>
      </c>
    </row>
    <row r="120">
      <c r="A120" s="8" t="n">
        <v>45809</v>
      </c>
      <c r="B120" s="9" t="n">
        <v>131.1393</v>
      </c>
      <c r="C120" s="9" t="n">
        <v>131.1393</v>
      </c>
      <c r="D120" s="9" t="n">
        <v>38.8023</v>
      </c>
      <c r="E120" s="9" t="n">
        <v>38.8023</v>
      </c>
      <c r="F120" s="9" t="n">
        <v>0</v>
      </c>
      <c r="G120" s="9" t="n">
        <v>0</v>
      </c>
    </row>
    <row r="121">
      <c r="A121" s="10" t="n">
        <v>45839</v>
      </c>
      <c r="B121" s="11" t="n">
        <v>131.5998</v>
      </c>
      <c r="C121" s="11" t="n">
        <v>131.5998</v>
      </c>
      <c r="D121" s="11" t="n">
        <v>39.1884</v>
      </c>
      <c r="E121" s="11" t="n">
        <v>39.1884</v>
      </c>
      <c r="F121" s="11" t="n">
        <v>0</v>
      </c>
      <c r="G121" s="11" t="n">
        <v>-0</v>
      </c>
    </row>
    <row r="122">
      <c r="A122" s="8" t="n">
        <v>45870</v>
      </c>
      <c r="B122" s="9" t="n">
        <v>133.4339</v>
      </c>
      <c r="C122" s="9" t="n">
        <v>133.4339</v>
      </c>
      <c r="D122" s="9" t="n">
        <v>38.3146</v>
      </c>
      <c r="E122" s="9" t="n">
        <v>38.3146</v>
      </c>
      <c r="F122" s="9" t="n">
        <v>0</v>
      </c>
      <c r="G122" s="9" t="n">
        <v>-0</v>
      </c>
    </row>
    <row r="123">
      <c r="A123" s="10" t="n">
        <v>45901</v>
      </c>
      <c r="B123" s="11" t="n">
        <v>133.4471</v>
      </c>
      <c r="C123" s="11" t="n">
        <v>133.4471</v>
      </c>
      <c r="D123" s="11" t="n">
        <v>38.2247</v>
      </c>
      <c r="E123" s="11" t="n">
        <v>38.2247</v>
      </c>
      <c r="F123" s="11" t="n">
        <v>0</v>
      </c>
      <c r="G123" s="11" t="n">
        <v>0</v>
      </c>
    </row>
    <row r="124">
      <c r="A124" s="8" t="n">
        <v>45931</v>
      </c>
      <c r="B124" s="9" t="n">
        <v>133.2887</v>
      </c>
      <c r="C124" s="9" t="n">
        <v>133.2887</v>
      </c>
      <c r="D124" s="9" t="n">
        <v>40.5924</v>
      </c>
      <c r="E124" s="9" t="n">
        <v>40.5924</v>
      </c>
      <c r="F124" s="9" t="n">
        <v>0</v>
      </c>
      <c r="G124" s="9" t="n">
        <v>0</v>
      </c>
    </row>
    <row r="125">
      <c r="A125" s="10" t="n">
        <v>45962</v>
      </c>
      <c r="B125" s="11" t="n">
        <v>133.2576</v>
      </c>
      <c r="C125" s="11" t="n">
        <v>133.2576</v>
      </c>
      <c r="D125" s="11" t="n">
        <v>40.8273</v>
      </c>
      <c r="E125" s="11" t="n">
        <v>40.8273</v>
      </c>
      <c r="F125" s="11" t="n">
        <v>0</v>
      </c>
      <c r="G125" s="11" t="n">
        <v>-0</v>
      </c>
    </row>
    <row r="126">
      <c r="A126" s="8" t="n">
        <v>45992</v>
      </c>
      <c r="B126" s="9" t="n">
        <v>135.9107</v>
      </c>
      <c r="C126" s="9" t="n">
        <v>135.9107</v>
      </c>
      <c r="D126" s="9" t="n">
        <v>38.6641</v>
      </c>
      <c r="E126" s="9" t="n">
        <v>38.6641</v>
      </c>
      <c r="F126" s="9" t="n">
        <v>0</v>
      </c>
      <c r="G126" s="9" t="n">
        <v>0</v>
      </c>
    </row>
    <row r="127">
      <c r="A127" s="10" t="n">
        <v>46023</v>
      </c>
      <c r="B127" s="11" t="n">
        <v>127.4628</v>
      </c>
      <c r="C127" s="11" t="n">
        <v>127.4628</v>
      </c>
      <c r="D127" s="11" t="n">
        <v>38.7593</v>
      </c>
      <c r="E127" s="11" t="n">
        <v>38.7593</v>
      </c>
      <c r="F127" s="11" t="n">
        <v>0</v>
      </c>
      <c r="G127" s="11" t="n">
        <v>0</v>
      </c>
    </row>
    <row r="128">
      <c r="A128" s="8" t="n">
        <v>46054</v>
      </c>
      <c r="B128" s="9" t="n">
        <v>123.9047</v>
      </c>
      <c r="C128" s="9" t="n">
        <v>123.9047</v>
      </c>
      <c r="D128" s="9" t="n">
        <v>38.1642</v>
      </c>
      <c r="E128" s="9" t="n">
        <v>38.1642</v>
      </c>
      <c r="F128" s="9" t="n">
        <v>0</v>
      </c>
      <c r="G128" s="9" t="n">
        <v>-0</v>
      </c>
    </row>
    <row r="129">
      <c r="A129" s="10" t="n">
        <v>46082</v>
      </c>
      <c r="B129" s="11" t="n">
        <v>133.8936</v>
      </c>
      <c r="C129" s="11" t="n">
        <v>133.8936</v>
      </c>
      <c r="D129" s="11" t="n">
        <v>42.1273</v>
      </c>
      <c r="E129" s="11" t="n">
        <v>42.1273</v>
      </c>
      <c r="F129" s="11" t="n">
        <v>0</v>
      </c>
      <c r="G129" s="11" t="n">
        <v>-0</v>
      </c>
    </row>
    <row r="130">
      <c r="A130" s="8" t="n">
        <v>46113</v>
      </c>
      <c r="B130" s="9" t="n">
        <v>133.5904</v>
      </c>
      <c r="C130" s="9" t="n">
        <v>133.5904</v>
      </c>
      <c r="D130" s="9" t="n">
        <v>41.926</v>
      </c>
      <c r="E130" s="9" t="n">
        <v>41.926</v>
      </c>
      <c r="F130" s="9" t="n">
        <v>0</v>
      </c>
      <c r="G130" s="9" t="n">
        <v>0</v>
      </c>
    </row>
    <row r="131">
      <c r="A131" s="10" t="n">
        <v>46143</v>
      </c>
      <c r="B131" s="11" t="n">
        <v>140.1756</v>
      </c>
      <c r="C131" s="11" t="n">
        <v>140.1756</v>
      </c>
      <c r="D131" s="11" t="n">
        <v>43.5747</v>
      </c>
      <c r="E131" s="11" t="n">
        <v>43.5747</v>
      </c>
      <c r="F131" s="11" t="n">
        <v>0</v>
      </c>
      <c r="G131" s="11" t="n">
        <v>0</v>
      </c>
    </row>
    <row r="132">
      <c r="A132" s="8" t="n">
        <v>46174</v>
      </c>
      <c r="B132" s="9" t="n">
        <v>136.0174</v>
      </c>
      <c r="C132" s="9" t="n">
        <v>139.8381</v>
      </c>
      <c r="D132" s="9" t="n">
        <v>43.1871</v>
      </c>
      <c r="E132" s="9" t="n">
        <v>42.6063</v>
      </c>
      <c r="F132" s="9" t="n">
        <v>-2.7323</v>
      </c>
      <c r="G132" s="9" t="n">
        <v>1.3632</v>
      </c>
    </row>
    <row r="133">
      <c r="A133" s="10" t="n">
        <v>46204</v>
      </c>
      <c r="B133" s="11" t="n">
        <v>129.4749</v>
      </c>
      <c r="C133" s="11" t="n">
        <v>138.3271</v>
      </c>
      <c r="D133" s="11" t="n">
        <v>40.7783</v>
      </c>
      <c r="E133" s="11" t="n">
        <v>40.8499</v>
      </c>
      <c r="F133" s="11" t="n">
        <v>-6.3995</v>
      </c>
      <c r="G133" s="11" t="n">
        <v>-0.1752</v>
      </c>
    </row>
    <row r="136">
      <c r="A136" s="17" t="inlineStr">
        <is>
          <t>PRONÓSTICO</t>
        </is>
      </c>
    </row>
    <row r="137">
      <c r="A137" s="6" t="inlineStr">
        <is>
          <t>Mes</t>
        </is>
      </c>
      <c r="B137" s="7" t="inlineStr">
        <is>
          <t>Indep. medio</t>
        </is>
      </c>
      <c r="C137" s="7" t="inlineStr">
        <is>
          <t>Banda inf 80%</t>
        </is>
      </c>
      <c r="D137" s="7" t="inlineStr">
        <is>
          <t>Banda sup 80%</t>
        </is>
      </c>
      <c r="E137" s="7" t="inlineStr">
        <is>
          <t>Modelo IEPS</t>
        </is>
      </c>
      <c r="F137" s="7" t="inlineStr">
        <is>
          <t>Diferencia %</t>
        </is>
      </c>
      <c r="G137" s="7" t="inlineStr">
        <is>
          <t>¿Modelo en banda?</t>
        </is>
      </c>
    </row>
    <row r="138">
      <c r="A138" s="8" t="n">
        <v>46235</v>
      </c>
      <c r="B138" s="9" t="n">
        <v>128.458</v>
      </c>
      <c r="C138" s="9" t="n">
        <v>121.413</v>
      </c>
      <c r="D138" s="9" t="n">
        <v>135.913</v>
      </c>
      <c r="E138" s="9" t="n">
        <v>136.951</v>
      </c>
      <c r="F138" s="9" t="n">
        <v>-6.201</v>
      </c>
      <c r="G138" s="9" t="inlineStr">
        <is>
          <t>NO</t>
        </is>
      </c>
    </row>
    <row r="139">
      <c r="A139" s="10" t="n">
        <v>46266</v>
      </c>
      <c r="B139" s="11" t="n">
        <v>127.248</v>
      </c>
      <c r="C139" s="11" t="n">
        <v>117.946</v>
      </c>
      <c r="D139" s="11" t="n">
        <v>137.285</v>
      </c>
      <c r="E139" s="11" t="n">
        <v>137.261</v>
      </c>
      <c r="F139" s="11" t="n">
        <v>-7.295</v>
      </c>
      <c r="G139" s="11" t="inlineStr">
        <is>
          <t>sí</t>
        </is>
      </c>
    </row>
    <row r="140">
      <c r="A140" s="8" t="n">
        <v>46296</v>
      </c>
      <c r="B140" s="9" t="n">
        <v>127.467</v>
      </c>
      <c r="C140" s="9" t="n">
        <v>116.655</v>
      </c>
      <c r="D140" s="9" t="n">
        <v>139.282</v>
      </c>
      <c r="E140" s="9" t="n">
        <v>138.018</v>
      </c>
      <c r="F140" s="9" t="n">
        <v>-7.644</v>
      </c>
      <c r="G140" s="9" t="inlineStr">
        <is>
          <t>sí</t>
        </is>
      </c>
    </row>
    <row r="141">
      <c r="A141" s="10" t="n">
        <v>46327</v>
      </c>
      <c r="B141" s="11" t="n">
        <v>127.023</v>
      </c>
      <c r="C141" s="11" t="n">
        <v>115.193</v>
      </c>
      <c r="D141" s="11" t="n">
        <v>140.067</v>
      </c>
      <c r="E141" s="11" t="n">
        <v>138.162</v>
      </c>
      <c r="F141" s="11" t="n">
        <v>-8.061999999999999</v>
      </c>
      <c r="G141" s="11" t="inlineStr">
        <is>
          <t>sí</t>
        </is>
      </c>
    </row>
    <row r="142">
      <c r="A142" s="8" t="n">
        <v>46357</v>
      </c>
      <c r="B142" s="9" t="n">
        <v>129.765</v>
      </c>
      <c r="C142" s="9" t="n">
        <v>116.881</v>
      </c>
      <c r="D142" s="9" t="n">
        <v>144.069</v>
      </c>
      <c r="E142" s="9" t="n">
        <v>142.103</v>
      </c>
      <c r="F142" s="9" t="n">
        <v>-8.683</v>
      </c>
      <c r="G142" s="9" t="inlineStr">
        <is>
          <t>sí</t>
        </is>
      </c>
    </row>
    <row r="143">
      <c r="A143" s="10" t="n">
        <v>46388</v>
      </c>
      <c r="B143" s="11" t="n">
        <v>121.283</v>
      </c>
      <c r="C143" s="11" t="n">
        <v>108.673</v>
      </c>
      <c r="D143" s="11" t="n">
        <v>135.356</v>
      </c>
      <c r="E143" s="11" t="n">
        <v>131.847</v>
      </c>
      <c r="F143" s="11" t="n">
        <v>-8.013</v>
      </c>
      <c r="G143" s="11" t="inlineStr">
        <is>
          <t>sí</t>
        </is>
      </c>
    </row>
    <row r="144">
      <c r="A144" s="8" t="n">
        <v>46419</v>
      </c>
      <c r="B144" s="9" t="n">
        <v>124.466</v>
      </c>
      <c r="C144" s="9" t="n">
        <v>111.089</v>
      </c>
      <c r="D144" s="9" t="n">
        <v>139.453</v>
      </c>
      <c r="E144" s="9" t="n">
        <v>138.053</v>
      </c>
      <c r="F144" s="9" t="n">
        <v>-9.842000000000001</v>
      </c>
      <c r="G144" s="9" t="inlineStr">
        <is>
          <t>sí</t>
        </is>
      </c>
    </row>
    <row r="145">
      <c r="A145" s="10" t="n">
        <v>46447</v>
      </c>
      <c r="B145" s="11" t="n">
        <v>125.83</v>
      </c>
      <c r="C145" s="11" t="n">
        <v>111.961</v>
      </c>
      <c r="D145" s="11" t="n">
        <v>141.416</v>
      </c>
      <c r="E145" s="11" t="n">
        <v>139.574</v>
      </c>
      <c r="F145" s="11" t="n">
        <v>-9.847</v>
      </c>
      <c r="G145" s="11" t="inlineStr">
        <is>
          <t>sí</t>
        </is>
      </c>
    </row>
    <row r="146">
      <c r="A146" s="8" t="n">
        <v>46478</v>
      </c>
      <c r="B146" s="9" t="n">
        <v>121.542</v>
      </c>
      <c r="C146" s="9" t="n">
        <v>107.882</v>
      </c>
      <c r="D146" s="9" t="n">
        <v>136.931</v>
      </c>
      <c r="E146" s="9" t="n">
        <v>138.013</v>
      </c>
      <c r="F146" s="9" t="n">
        <v>-11.934</v>
      </c>
      <c r="G146" s="9" t="inlineStr">
        <is>
          <t>NO</t>
        </is>
      </c>
    </row>
    <row r="147">
      <c r="A147" s="10" t="n">
        <v>46508</v>
      </c>
      <c r="B147" s="11" t="n">
        <v>126.402</v>
      </c>
      <c r="C147" s="11" t="n">
        <v>111.979</v>
      </c>
      <c r="D147" s="11" t="n">
        <v>142.684</v>
      </c>
      <c r="E147" s="11" t="n">
        <v>142.638</v>
      </c>
      <c r="F147" s="11" t="n">
        <v>-11.382</v>
      </c>
      <c r="G147" s="11" t="inlineStr">
        <is>
          <t>sí</t>
        </is>
      </c>
    </row>
    <row r="148">
      <c r="A148" s="8" t="n">
        <v>46539</v>
      </c>
      <c r="B148" s="9" t="n">
        <v>126.348</v>
      </c>
      <c r="C148" s="9" t="n">
        <v>111.757</v>
      </c>
      <c r="D148" s="9" t="n">
        <v>142.845</v>
      </c>
      <c r="E148" s="9" t="n">
        <v>141.427</v>
      </c>
      <c r="F148" s="9" t="n">
        <v>-10.662</v>
      </c>
      <c r="G148" s="9" t="inlineStr">
        <is>
          <t>sí</t>
        </is>
      </c>
    </row>
    <row r="149">
      <c r="A149" s="10" t="n">
        <v>46569</v>
      </c>
      <c r="B149" s="11" t="n">
        <v>124.917</v>
      </c>
      <c r="C149" s="11" t="n">
        <v>110.353</v>
      </c>
      <c r="D149" s="11" t="n">
        <v>141.402</v>
      </c>
      <c r="E149" s="11" t="n">
        <v>140.363</v>
      </c>
      <c r="F149" s="11" t="n">
        <v>-11.004</v>
      </c>
      <c r="G149" s="11" t="inlineStr">
        <is>
          <t>sí</t>
        </is>
      </c>
    </row>
    <row r="150">
      <c r="A150" s="8" t="n">
        <v>46600</v>
      </c>
      <c r="B150" s="9" t="n">
        <v>124.299</v>
      </c>
      <c r="C150" s="9" t="n">
        <v>109.574</v>
      </c>
      <c r="D150" s="9" t="n">
        <v>141.003</v>
      </c>
      <c r="E150" s="9" t="n">
        <v>138.994</v>
      </c>
      <c r="F150" s="9" t="n">
        <v>-10.572</v>
      </c>
      <c r="G150" s="9" t="inlineStr">
        <is>
          <t>sí</t>
        </is>
      </c>
    </row>
    <row r="151">
      <c r="A151" s="10" t="n">
        <v>46631</v>
      </c>
      <c r="B151" s="11" t="n">
        <v>123.486</v>
      </c>
      <c r="C151" s="11" t="n">
        <v>108.673</v>
      </c>
      <c r="D151" s="11" t="n">
        <v>140.319</v>
      </c>
      <c r="E151" s="11" t="n">
        <v>139.342</v>
      </c>
      <c r="F151" s="11" t="n">
        <v>-11.379</v>
      </c>
      <c r="G151" s="11" t="inlineStr">
        <is>
          <t>sí</t>
        </is>
      </c>
    </row>
    <row r="152">
      <c r="A152" s="8" t="n">
        <v>46661</v>
      </c>
      <c r="B152" s="9" t="n">
        <v>124.062</v>
      </c>
      <c r="C152" s="9" t="n">
        <v>109.031</v>
      </c>
      <c r="D152" s="9" t="n">
        <v>141.165</v>
      </c>
      <c r="E152" s="9" t="n">
        <v>140.083</v>
      </c>
      <c r="F152" s="9" t="n">
        <v>-11.437</v>
      </c>
      <c r="G152" s="9" t="inlineStr">
        <is>
          <t>sí</t>
        </is>
      </c>
    </row>
    <row r="153">
      <c r="A153" s="10" t="n">
        <v>46692</v>
      </c>
      <c r="B153" s="11" t="n">
        <v>123.936</v>
      </c>
      <c r="C153" s="11" t="n">
        <v>108.802</v>
      </c>
      <c r="D153" s="11" t="n">
        <v>141.176</v>
      </c>
      <c r="E153" s="11" t="n">
        <v>140.31</v>
      </c>
      <c r="F153" s="11" t="n">
        <v>-11.669</v>
      </c>
      <c r="G153" s="11" t="inlineStr">
        <is>
          <t>sí</t>
        </is>
      </c>
    </row>
    <row r="154">
      <c r="A154" s="8" t="n">
        <v>46722</v>
      </c>
      <c r="B154" s="9" t="n">
        <v>126.911</v>
      </c>
      <c r="C154" s="9" t="n">
        <v>111.315</v>
      </c>
      <c r="D154" s="9" t="n">
        <v>144.692</v>
      </c>
      <c r="E154" s="9" t="n">
        <v>144.332</v>
      </c>
      <c r="F154" s="9" t="n">
        <v>-12.07</v>
      </c>
      <c r="G154" s="9" t="inlineStr">
        <is>
          <t>sí</t>
        </is>
      </c>
    </row>
    <row r="155">
      <c r="A155" s="10" t="n">
        <v>46753</v>
      </c>
      <c r="B155" s="11" t="n">
        <v>118.852</v>
      </c>
      <c r="C155" s="11" t="n">
        <v>104.172</v>
      </c>
      <c r="D155" s="11" t="n">
        <v>135.6</v>
      </c>
      <c r="E155" s="11" t="n">
        <v>134.045</v>
      </c>
      <c r="F155" s="11" t="n">
        <v>-11.334</v>
      </c>
      <c r="G155" s="11" t="inlineStr">
        <is>
          <t>sí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Descomposición de la lámina de ingresos y precios</t>
        </is>
      </c>
    </row>
    <row r="2">
      <c r="A2" s="2" t="inlineStr">
        <is>
          <t>Periodo previo: ene-2025 a mar-2026 · rosa: abr-2026 a jul-2026 · volúmenes y precios rezagados un mes</t>
        </is>
      </c>
    </row>
    <row r="4">
      <c r="A4" s="21" t="inlineStr">
        <is>
          <t>ATENCIÓN: usa la cuota efectiva del modelo IEPS. Es la única pieza no independiente del análisis.</t>
        </is>
      </c>
    </row>
    <row r="6">
      <c r="A6" s="6" t="inlineStr">
        <is>
          <t>Concepto</t>
        </is>
      </c>
      <c r="B6" s="6" t="inlineStr">
        <is>
          <t>Periodo previo</t>
        </is>
      </c>
      <c r="C6" s="6" t="inlineStr">
        <is>
          <t>Periodo reciente</t>
        </is>
      </c>
      <c r="D6" s="6" t="inlineStr">
        <is>
          <t>Cambio</t>
        </is>
      </c>
      <c r="E6" s="6" t="inlineStr">
        <is>
          <t>Cambio %</t>
        </is>
      </c>
    </row>
    <row r="7">
      <c r="A7" s="13" t="inlineStr">
        <is>
          <t>IEPS observado (mmp/mes)</t>
        </is>
      </c>
      <c r="B7" s="22" t="n">
        <v>37.3201</v>
      </c>
      <c r="C7" s="22" t="n">
        <v>34.0316</v>
      </c>
      <c r="D7" s="23">
        <f>C7-B7</f>
        <v/>
      </c>
      <c r="E7" s="24">
        <f>IFERROR(C7/B7-1,"")</f>
        <v/>
      </c>
    </row>
    <row r="8">
      <c r="A8" s="13" t="inlineStr">
        <is>
          <t>Precio de la mezcla t-1 (USD/bbl)</t>
        </is>
      </c>
      <c r="B8" s="22" t="n">
        <v>61.458</v>
      </c>
      <c r="C8" s="22" t="n">
        <v>91.1322</v>
      </c>
      <c r="D8" s="23">
        <f>C8-B8</f>
        <v/>
      </c>
      <c r="E8" s="24">
        <f>IFERROR(C8/B8-1,"")</f>
        <v/>
      </c>
    </row>
    <row r="9">
      <c r="A9" s="13" t="inlineStr">
        <is>
          <t>Precio de combustibles t-1 (USD/bbl)</t>
        </is>
      </c>
      <c r="B9" s="22" t="n">
        <v>87.7697</v>
      </c>
      <c r="C9" s="22" t="n">
        <v>139.712</v>
      </c>
      <c r="D9" s="23">
        <f>C9-B9</f>
        <v/>
      </c>
      <c r="E9" s="24">
        <f>IFERROR(C9/B9-1,"")</f>
        <v/>
      </c>
    </row>
    <row r="10">
      <c r="A10" s="13" t="inlineStr">
        <is>
          <t>Litros Regular (miles de millones)</t>
        </is>
      </c>
      <c r="B10" s="22" t="n">
        <v>3.0542</v>
      </c>
      <c r="C10" s="22" t="n">
        <v>3.351</v>
      </c>
      <c r="D10" s="23">
        <f>C10-B10</f>
        <v/>
      </c>
      <c r="E10" s="24">
        <f>IFERROR(C10/B10-1,"")</f>
        <v/>
      </c>
    </row>
    <row r="11">
      <c r="A11" s="13" t="inlineStr">
        <is>
          <t>Litros Premium (miles de millones)</t>
        </is>
      </c>
      <c r="B11" s="22" t="n">
        <v>0.9273</v>
      </c>
      <c r="C11" s="22" t="n">
        <v>0.8578</v>
      </c>
      <c r="D11" s="23">
        <f>C11-B11</f>
        <v/>
      </c>
      <c r="E11" s="24">
        <f>IFERROR(C11/B11-1,"")</f>
        <v/>
      </c>
    </row>
    <row r="12">
      <c r="A12" s="13" t="inlineStr">
        <is>
          <t>Litros Diésel (miles de millones)</t>
        </is>
      </c>
      <c r="B12" s="22" t="n">
        <v>1.8193</v>
      </c>
      <c r="C12" s="22" t="n">
        <v>2.0051</v>
      </c>
      <c r="D12" s="23">
        <f>C12-B12</f>
        <v/>
      </c>
      <c r="E12" s="24">
        <f>IFERROR(C12/B12-1,"")</f>
        <v/>
      </c>
    </row>
    <row r="13">
      <c r="A13" s="13" t="inlineStr">
        <is>
          <t>Cuota Regular ($/L)</t>
        </is>
      </c>
      <c r="B13" s="22" t="n">
        <v>6.3205</v>
      </c>
      <c r="C13" s="22" t="n">
        <v>4.8812</v>
      </c>
      <c r="D13" s="23">
        <f>C13-B13</f>
        <v/>
      </c>
      <c r="E13" s="24">
        <f>IFERROR(C13/B13-1,"")</f>
        <v/>
      </c>
    </row>
    <row r="14">
      <c r="A14" s="13" t="inlineStr">
        <is>
          <t>Cuota Premium ($/L)</t>
        </is>
      </c>
      <c r="B14" s="22" t="n">
        <v>5.4824</v>
      </c>
      <c r="C14" s="22" t="n">
        <v>4.8028</v>
      </c>
      <c r="D14" s="23">
        <f>C14-B14</f>
        <v/>
      </c>
      <c r="E14" s="24">
        <f>IFERROR(C14/B14-1,"")</f>
        <v/>
      </c>
    </row>
    <row r="15">
      <c r="A15" s="13" t="inlineStr">
        <is>
          <t>Cuota Diésel ($/L)</t>
        </is>
      </c>
      <c r="B15" s="22" t="n">
        <v>6.832</v>
      </c>
      <c r="C15" s="22" t="n">
        <v>3.5516</v>
      </c>
      <c r="D15" s="23">
        <f>C15-B15</f>
        <v/>
      </c>
      <c r="E15" s="24">
        <f>IFERROR(C15/B15-1,"")</f>
        <v/>
      </c>
    </row>
    <row r="18">
      <c r="A18" s="17" t="inlineStr">
        <is>
          <t>Descomposición del cambio (miles de millones de pesos al mes)</t>
        </is>
      </c>
    </row>
    <row r="19">
      <c r="A19" s="6" t="inlineStr">
        <is>
          <t>Efecto</t>
        </is>
      </c>
      <c r="B19" s="6" t="inlineStr">
        <is>
          <t>Valor</t>
        </is>
      </c>
      <c r="C19" s="6" t="inlineStr">
        <is>
          <t>% del periodo previo</t>
        </is>
      </c>
    </row>
    <row r="20">
      <c r="A20" s="13" t="inlineStr">
        <is>
          <t>Cálculo, ene-2025 a mar-2026</t>
        </is>
      </c>
      <c r="B20" s="25" t="n">
        <v>36.817</v>
      </c>
      <c r="C20" s="24">
        <f>B20/36.817049</f>
        <v/>
      </c>
    </row>
    <row r="21">
      <c r="A21" s="13" t="inlineStr">
        <is>
          <t>Efecto volumen</t>
        </is>
      </c>
      <c r="B21" s="25" t="n">
        <v>2.622</v>
      </c>
      <c r="C21" s="24">
        <f>B21/36.817049</f>
        <v/>
      </c>
    </row>
    <row r="22">
      <c r="A22" s="13" t="inlineStr">
        <is>
          <t>Efecto cuota</t>
        </is>
      </c>
      <c r="B22" s="25" t="n">
        <v>-10.994</v>
      </c>
      <c r="C22" s="24">
        <f>B22/36.817049</f>
        <v/>
      </c>
    </row>
    <row r="23">
      <c r="A23" s="13" t="inlineStr">
        <is>
          <t>Efecto mezcla</t>
        </is>
      </c>
      <c r="B23" s="25" t="n">
        <v>0.133</v>
      </c>
      <c r="C23" s="24">
        <f>B23/36.817049</f>
        <v/>
      </c>
    </row>
    <row r="24">
      <c r="A24" s="13" t="inlineStr">
        <is>
          <t>Interacción</t>
        </is>
      </c>
      <c r="B24" s="25" t="n">
        <v>-0.98</v>
      </c>
      <c r="C24" s="24">
        <f>B24/36.817049</f>
        <v/>
      </c>
    </row>
    <row r="25">
      <c r="A25" s="13" t="inlineStr">
        <is>
          <t>Cálculo, abr a jul de 2026</t>
        </is>
      </c>
      <c r="B25" s="25" t="n">
        <v>27.598</v>
      </c>
      <c r="C25" s="24">
        <f>B25/36.817049</f>
        <v/>
      </c>
    </row>
    <row r="28">
      <c r="A28" s="17" t="inlineStr">
        <is>
          <t>Contrafactual: IEPS del periodo reciente con el volumen del azul</t>
        </is>
      </c>
    </row>
    <row r="29">
      <c r="A29" s="6" t="inlineStr">
        <is>
          <t>Base de volumen</t>
        </is>
      </c>
      <c r="B29" s="6" t="inlineStr">
        <is>
          <t>Cambio de volumen</t>
        </is>
      </c>
      <c r="C29" s="6" t="inlineStr">
        <is>
          <t>IEPS contrafactual</t>
        </is>
      </c>
      <c r="D29" s="6" t="inlineStr">
        <is>
          <t>Aportación del volumen</t>
        </is>
      </c>
      <c r="E29" s="6" t="inlineStr">
        <is>
          <t>Caída sin volumen</t>
        </is>
      </c>
      <c r="F29" s="6" t="inlineStr">
        <is>
          <t>Caída observada</t>
        </is>
      </c>
    </row>
    <row r="30">
      <c r="A30" s="13" t="inlineStr">
        <is>
          <t>Base de la lámina (mercado total)</t>
        </is>
      </c>
      <c r="B30" s="26" t="n">
        <v>0.07123</v>
      </c>
      <c r="C30" s="11" t="n">
        <v>31.843</v>
      </c>
      <c r="D30" s="27">
        <f>34.031616-C30</f>
        <v/>
      </c>
      <c r="E30" s="24">
        <f>C30/37.320124-1</f>
        <v/>
      </c>
      <c r="F30" s="24" t="n">
        <v>-0.0881</v>
      </c>
    </row>
    <row r="31">
      <c r="A31" s="13" t="inlineStr">
        <is>
          <t>Reconstrucción CNE (venta en estación)</t>
        </is>
      </c>
      <c r="B31" s="26" t="n">
        <v>0.06114</v>
      </c>
      <c r="C31" s="11" t="n">
        <v>32.157</v>
      </c>
      <c r="D31" s="27">
        <f>34.031616-C31</f>
        <v/>
      </c>
      <c r="E31" s="24">
        <f>C31/37.320124-1</f>
        <v/>
      </c>
      <c r="F31" s="24" t="n">
        <v>-0.0881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Puente a recaudación IEPS federal</t>
        </is>
      </c>
    </row>
    <row r="2">
      <c r="A2" s="2" t="inlineStr">
        <is>
          <t>Base de venta en la bomba × cuota efectiva · millones de pesos del mes</t>
        </is>
      </c>
    </row>
    <row r="3">
      <c r="A3" s="21" t="inlineStr">
        <is>
          <t>ATENCIÓN: esta hoja usa la cuota efectiva del modelo IEPS. Es la única pieza no independiente del libro.</t>
        </is>
      </c>
    </row>
    <row r="5">
      <c r="A5" s="6" t="inlineStr">
        <is>
          <t>Mes</t>
        </is>
      </c>
      <c r="B5" s="7" t="inlineStr">
        <is>
          <t>Vol Regular</t>
        </is>
      </c>
      <c r="C5" s="7" t="inlineStr">
        <is>
          <t>Vol Premium</t>
        </is>
      </c>
      <c r="D5" s="7" t="inlineStr">
        <is>
          <t>Vol Diésel</t>
        </is>
      </c>
      <c r="E5" s="7" t="inlineStr">
        <is>
          <t>Cuota Regular</t>
        </is>
      </c>
      <c r="F5" s="7" t="inlineStr">
        <is>
          <t>Cuota Premium</t>
        </is>
      </c>
      <c r="G5" s="7" t="inlineStr">
        <is>
          <t>Cuota Diésel</t>
        </is>
      </c>
      <c r="H5" s="7" t="inlineStr">
        <is>
          <t>Días</t>
        </is>
      </c>
      <c r="I5" s="6" t="inlineStr">
        <is>
          <t>IEPS Regular</t>
        </is>
      </c>
      <c r="J5" s="6" t="inlineStr">
        <is>
          <t>IEPS Premium</t>
        </is>
      </c>
      <c r="K5" s="6" t="inlineStr">
        <is>
          <t>IEPS Diésel</t>
        </is>
      </c>
      <c r="L5" s="6" t="inlineStr">
        <is>
          <t>IEPS TOTAL</t>
        </is>
      </c>
    </row>
    <row r="6">
      <c r="A6" s="8" t="n">
        <v>43466</v>
      </c>
      <c r="B6" s="9" t="n">
        <v>96.0351</v>
      </c>
      <c r="C6" s="9" t="n">
        <v>17.072</v>
      </c>
      <c r="D6" s="9" t="n">
        <v>36.7617</v>
      </c>
      <c r="E6" s="9" t="n">
        <v>4.81</v>
      </c>
      <c r="F6" s="9" t="n">
        <v>4.06</v>
      </c>
      <c r="G6" s="9" t="n">
        <v>5.2746</v>
      </c>
      <c r="H6" s="9" t="n">
        <v>31</v>
      </c>
      <c r="I6" s="28">
        <f>B6*E6*H6</f>
        <v/>
      </c>
      <c r="J6" s="28">
        <f>C6*F6*H6</f>
        <v/>
      </c>
      <c r="K6" s="28">
        <f>D6*G6*H6</f>
        <v/>
      </c>
      <c r="L6" s="28">
        <f>SUM(I6:K6)</f>
        <v/>
      </c>
    </row>
    <row r="7">
      <c r="A7" s="10" t="n">
        <v>43497</v>
      </c>
      <c r="B7" s="11" t="n">
        <v>95.8125</v>
      </c>
      <c r="C7" s="11" t="n">
        <v>18.0098</v>
      </c>
      <c r="D7" s="11" t="n">
        <v>37.6939</v>
      </c>
      <c r="E7" s="11" t="n">
        <v>4.81</v>
      </c>
      <c r="F7" s="11" t="n">
        <v>4.06</v>
      </c>
      <c r="G7" s="11" t="n">
        <v>5.03</v>
      </c>
      <c r="H7" s="11" t="n">
        <v>28</v>
      </c>
      <c r="I7" s="28">
        <f>B7*E7*H7</f>
        <v/>
      </c>
      <c r="J7" s="28">
        <f>C7*F7*H7</f>
        <v/>
      </c>
      <c r="K7" s="28">
        <f>D7*G7*H7</f>
        <v/>
      </c>
      <c r="L7" s="28">
        <f>SUM(I7:K7)</f>
        <v/>
      </c>
    </row>
    <row r="8">
      <c r="A8" s="8" t="n">
        <v>43525</v>
      </c>
      <c r="B8" s="9" t="n">
        <v>94.5647</v>
      </c>
      <c r="C8" s="9" t="n">
        <v>19.5797</v>
      </c>
      <c r="D8" s="9" t="n">
        <v>36.5707</v>
      </c>
      <c r="E8" s="9" t="n">
        <v>4.2176</v>
      </c>
      <c r="F8" s="9" t="n">
        <v>4.06</v>
      </c>
      <c r="G8" s="9" t="n">
        <v>4.0674</v>
      </c>
      <c r="H8" s="9" t="n">
        <v>31</v>
      </c>
      <c r="I8" s="28">
        <f>B8*E8*H8</f>
        <v/>
      </c>
      <c r="J8" s="28">
        <f>C8*F8*H8</f>
        <v/>
      </c>
      <c r="K8" s="28">
        <f>D8*G8*H8</f>
        <v/>
      </c>
      <c r="L8" s="28">
        <f>SUM(I8:K8)</f>
        <v/>
      </c>
    </row>
    <row r="9">
      <c r="A9" s="10" t="n">
        <v>43556</v>
      </c>
      <c r="B9" s="11" t="n">
        <v>94.92059999999999</v>
      </c>
      <c r="C9" s="11" t="n">
        <v>18.3579</v>
      </c>
      <c r="D9" s="11" t="n">
        <v>36.0788</v>
      </c>
      <c r="E9" s="11" t="n">
        <v>3.0865</v>
      </c>
      <c r="F9" s="11" t="n">
        <v>3.4936</v>
      </c>
      <c r="G9" s="11" t="n">
        <v>3.9835</v>
      </c>
      <c r="H9" s="11" t="n">
        <v>30</v>
      </c>
      <c r="I9" s="28">
        <f>B9*E9*H9</f>
        <v/>
      </c>
      <c r="J9" s="28">
        <f>C9*F9*H9</f>
        <v/>
      </c>
      <c r="K9" s="28">
        <f>D9*G9*H9</f>
        <v/>
      </c>
      <c r="L9" s="28">
        <f>SUM(I9:K9)</f>
        <v/>
      </c>
    </row>
    <row r="10">
      <c r="A10" s="8" t="n">
        <v>43586</v>
      </c>
      <c r="B10" s="9" t="n">
        <v>99.17959999999999</v>
      </c>
      <c r="C10" s="9" t="n">
        <v>18.8447</v>
      </c>
      <c r="D10" s="9" t="n">
        <v>38.6718</v>
      </c>
      <c r="E10" s="9" t="n">
        <v>3.0557</v>
      </c>
      <c r="F10" s="9" t="n">
        <v>3.6081</v>
      </c>
      <c r="G10" s="9" t="n">
        <v>3.6617</v>
      </c>
      <c r="H10" s="9" t="n">
        <v>31</v>
      </c>
      <c r="I10" s="28">
        <f>B10*E10*H10</f>
        <v/>
      </c>
      <c r="J10" s="28">
        <f>C10*F10*H10</f>
        <v/>
      </c>
      <c r="K10" s="28">
        <f>D10*G10*H10</f>
        <v/>
      </c>
      <c r="L10" s="28">
        <f>SUM(I10:K10)</f>
        <v/>
      </c>
    </row>
    <row r="11">
      <c r="A11" s="10" t="n">
        <v>43617</v>
      </c>
      <c r="B11" s="11" t="n">
        <v>100.1199</v>
      </c>
      <c r="C11" s="11" t="n">
        <v>18.7359</v>
      </c>
      <c r="D11" s="11" t="n">
        <v>37.2375</v>
      </c>
      <c r="E11" s="11" t="n">
        <v>3.8908</v>
      </c>
      <c r="F11" s="11" t="n">
        <v>4.0509</v>
      </c>
      <c r="G11" s="11" t="n">
        <v>4.3763</v>
      </c>
      <c r="H11" s="11" t="n">
        <v>30</v>
      </c>
      <c r="I11" s="28">
        <f>B11*E11*H11</f>
        <v/>
      </c>
      <c r="J11" s="28">
        <f>C11*F11*H11</f>
        <v/>
      </c>
      <c r="K11" s="28">
        <f>D11*G11*H11</f>
        <v/>
      </c>
      <c r="L11" s="28">
        <f>SUM(I11:K11)</f>
        <v/>
      </c>
    </row>
    <row r="12">
      <c r="A12" s="8" t="n">
        <v>43647</v>
      </c>
      <c r="B12" s="9" t="n">
        <v>96.0194</v>
      </c>
      <c r="C12" s="9" t="n">
        <v>17.8393</v>
      </c>
      <c r="D12" s="9" t="n">
        <v>36.2229</v>
      </c>
      <c r="E12" s="9" t="n">
        <v>3.5259</v>
      </c>
      <c r="F12" s="9" t="n">
        <v>3.74</v>
      </c>
      <c r="G12" s="9" t="n">
        <v>4.4075</v>
      </c>
      <c r="H12" s="9" t="n">
        <v>31</v>
      </c>
      <c r="I12" s="28">
        <f>B12*E12*H12</f>
        <v/>
      </c>
      <c r="J12" s="28">
        <f>C12*F12*H12</f>
        <v/>
      </c>
      <c r="K12" s="28">
        <f>D12*G12*H12</f>
        <v/>
      </c>
      <c r="L12" s="28">
        <f>SUM(I12:K12)</f>
        <v/>
      </c>
    </row>
    <row r="13">
      <c r="A13" s="10" t="n">
        <v>43678</v>
      </c>
      <c r="B13" s="11" t="n">
        <v>97.2587</v>
      </c>
      <c r="C13" s="11" t="n">
        <v>18.1783</v>
      </c>
      <c r="D13" s="11" t="n">
        <v>34.2718</v>
      </c>
      <c r="E13" s="11" t="n">
        <v>4.0847</v>
      </c>
      <c r="F13" s="11" t="n">
        <v>4.0458</v>
      </c>
      <c r="G13" s="11" t="n">
        <v>4.632</v>
      </c>
      <c r="H13" s="11" t="n">
        <v>31</v>
      </c>
      <c r="I13" s="28">
        <f>B13*E13*H13</f>
        <v/>
      </c>
      <c r="J13" s="28">
        <f>C13*F13*H13</f>
        <v/>
      </c>
      <c r="K13" s="28">
        <f>D13*G13*H13</f>
        <v/>
      </c>
      <c r="L13" s="28">
        <f>SUM(I13:K13)</f>
        <v/>
      </c>
    </row>
    <row r="14">
      <c r="A14" s="8" t="n">
        <v>43709</v>
      </c>
      <c r="B14" s="9" t="n">
        <v>96.64360000000001</v>
      </c>
      <c r="C14" s="9" t="n">
        <v>17.9638</v>
      </c>
      <c r="D14" s="9" t="n">
        <v>33.1418</v>
      </c>
      <c r="E14" s="9" t="n">
        <v>4.1307</v>
      </c>
      <c r="F14" s="9" t="n">
        <v>4.06</v>
      </c>
      <c r="G14" s="9" t="n">
        <v>4.3345</v>
      </c>
      <c r="H14" s="9" t="n">
        <v>30</v>
      </c>
      <c r="I14" s="28">
        <f>B14*E14*H14</f>
        <v/>
      </c>
      <c r="J14" s="28">
        <f>C14*F14*H14</f>
        <v/>
      </c>
      <c r="K14" s="28">
        <f>D14*G14*H14</f>
        <v/>
      </c>
      <c r="L14" s="28">
        <f>SUM(I14:K14)</f>
        <v/>
      </c>
    </row>
    <row r="15">
      <c r="A15" s="10" t="n">
        <v>43739</v>
      </c>
      <c r="B15" s="11" t="n">
        <v>98.3304</v>
      </c>
      <c r="C15" s="11" t="n">
        <v>18.2926</v>
      </c>
      <c r="D15" s="11" t="n">
        <v>35.6452</v>
      </c>
      <c r="E15" s="11" t="n">
        <v>4.0674</v>
      </c>
      <c r="F15" s="11" t="n">
        <v>4.06</v>
      </c>
      <c r="G15" s="11" t="n">
        <v>4.1791</v>
      </c>
      <c r="H15" s="11" t="n">
        <v>31</v>
      </c>
      <c r="I15" s="28">
        <f>B15*E15*H15</f>
        <v/>
      </c>
      <c r="J15" s="28">
        <f>C15*F15*H15</f>
        <v/>
      </c>
      <c r="K15" s="28">
        <f>D15*G15*H15</f>
        <v/>
      </c>
      <c r="L15" s="28">
        <f>SUM(I15:K15)</f>
        <v/>
      </c>
    </row>
    <row r="16">
      <c r="A16" s="8" t="n">
        <v>43770</v>
      </c>
      <c r="B16" s="9" t="n">
        <v>98.73609999999999</v>
      </c>
      <c r="C16" s="9" t="n">
        <v>19.1033</v>
      </c>
      <c r="D16" s="9" t="n">
        <v>35.671</v>
      </c>
      <c r="E16" s="9" t="n">
        <v>4.3587</v>
      </c>
      <c r="F16" s="9" t="n">
        <v>4.06</v>
      </c>
      <c r="G16" s="9" t="n">
        <v>4.6703</v>
      </c>
      <c r="H16" s="9" t="n">
        <v>30</v>
      </c>
      <c r="I16" s="28">
        <f>B16*E16*H16</f>
        <v/>
      </c>
      <c r="J16" s="28">
        <f>C16*F16*H16</f>
        <v/>
      </c>
      <c r="K16" s="28">
        <f>D16*G16*H16</f>
        <v/>
      </c>
      <c r="L16" s="28">
        <f>SUM(I16:K16)</f>
        <v/>
      </c>
    </row>
    <row r="17">
      <c r="A17" s="10" t="n">
        <v>43800</v>
      </c>
      <c r="B17" s="11" t="n">
        <v>100.8188</v>
      </c>
      <c r="C17" s="11" t="n">
        <v>20.2594</v>
      </c>
      <c r="D17" s="11" t="n">
        <v>33.6476</v>
      </c>
      <c r="E17" s="11" t="n">
        <v>4.4643</v>
      </c>
      <c r="F17" s="11" t="n">
        <v>4.06</v>
      </c>
      <c r="G17" s="11" t="n">
        <v>4.6662</v>
      </c>
      <c r="H17" s="11" t="n">
        <v>31</v>
      </c>
      <c r="I17" s="28">
        <f>B17*E17*H17</f>
        <v/>
      </c>
      <c r="J17" s="28">
        <f>C17*F17*H17</f>
        <v/>
      </c>
      <c r="K17" s="28">
        <f>D17*G17*H17</f>
        <v/>
      </c>
      <c r="L17" s="28">
        <f>SUM(I17:K17)</f>
        <v/>
      </c>
    </row>
    <row r="18">
      <c r="A18" s="8" t="n">
        <v>43831</v>
      </c>
      <c r="B18" s="9" t="n">
        <v>94.7641</v>
      </c>
      <c r="C18" s="9" t="n">
        <v>19.1526</v>
      </c>
      <c r="D18" s="9" t="n">
        <v>35.0024</v>
      </c>
      <c r="E18" s="9" t="n">
        <v>4.4735</v>
      </c>
      <c r="F18" s="9" t="n">
        <v>4.18</v>
      </c>
      <c r="G18" s="9" t="n">
        <v>4.8434</v>
      </c>
      <c r="H18" s="9" t="n">
        <v>31</v>
      </c>
      <c r="I18" s="28">
        <f>B18*E18*H18</f>
        <v/>
      </c>
      <c r="J18" s="28">
        <f>C18*F18*H18</f>
        <v/>
      </c>
      <c r="K18" s="28">
        <f>D18*G18*H18</f>
        <v/>
      </c>
      <c r="L18" s="28">
        <f>SUM(I18:K18)</f>
        <v/>
      </c>
    </row>
    <row r="19">
      <c r="A19" s="10" t="n">
        <v>43862</v>
      </c>
      <c r="B19" s="11" t="n">
        <v>94.9679</v>
      </c>
      <c r="C19" s="11" t="n">
        <v>20.6939</v>
      </c>
      <c r="D19" s="11" t="n">
        <v>34.8987</v>
      </c>
      <c r="E19" s="11" t="n">
        <v>4.9442</v>
      </c>
      <c r="F19" s="11" t="n">
        <v>4.18</v>
      </c>
      <c r="G19" s="11" t="n">
        <v>5.44</v>
      </c>
      <c r="H19" s="11" t="n">
        <v>29</v>
      </c>
      <c r="I19" s="28">
        <f>B19*E19*H19</f>
        <v/>
      </c>
      <c r="J19" s="28">
        <f>C19*F19*H19</f>
        <v/>
      </c>
      <c r="K19" s="28">
        <f>D19*G19*H19</f>
        <v/>
      </c>
      <c r="L19" s="28">
        <f>SUM(I19:K19)</f>
        <v/>
      </c>
    </row>
    <row r="20">
      <c r="A20" s="8" t="n">
        <v>43891</v>
      </c>
      <c r="B20" s="9" t="n">
        <v>88.92829999999999</v>
      </c>
      <c r="C20" s="9" t="n">
        <v>19.9441</v>
      </c>
      <c r="D20" s="9" t="n">
        <v>34.7248</v>
      </c>
      <c r="E20" s="9" t="n">
        <v>4.9421</v>
      </c>
      <c r="F20" s="9" t="n">
        <v>4.18</v>
      </c>
      <c r="G20" s="9" t="n">
        <v>5.44</v>
      </c>
      <c r="H20" s="9" t="n">
        <v>31</v>
      </c>
      <c r="I20" s="28">
        <f>B20*E20*H20</f>
        <v/>
      </c>
      <c r="J20" s="28">
        <f>C20*F20*H20</f>
        <v/>
      </c>
      <c r="K20" s="28">
        <f>D20*G20*H20</f>
        <v/>
      </c>
      <c r="L20" s="28">
        <f>SUM(I20:K20)</f>
        <v/>
      </c>
    </row>
    <row r="21">
      <c r="A21" s="10" t="n">
        <v>43922</v>
      </c>
      <c r="B21" s="11" t="n">
        <v>66.9795</v>
      </c>
      <c r="C21" s="11" t="n">
        <v>13.213</v>
      </c>
      <c r="D21" s="11" t="n">
        <v>28.5107</v>
      </c>
      <c r="E21" s="11" t="n">
        <v>4.95</v>
      </c>
      <c r="F21" s="11" t="n">
        <v>4.18</v>
      </c>
      <c r="G21" s="11" t="n">
        <v>5.44</v>
      </c>
      <c r="H21" s="11" t="n">
        <v>30</v>
      </c>
      <c r="I21" s="28">
        <f>B21*E21*H21</f>
        <v/>
      </c>
      <c r="J21" s="28">
        <f>C21*F21*H21</f>
        <v/>
      </c>
      <c r="K21" s="28">
        <f>D21*G21*H21</f>
        <v/>
      </c>
      <c r="L21" s="28">
        <f>SUM(I21:K21)</f>
        <v/>
      </c>
    </row>
    <row r="22">
      <c r="A22" s="8" t="n">
        <v>43952</v>
      </c>
      <c r="B22" s="9" t="n">
        <v>70.1756</v>
      </c>
      <c r="C22" s="9" t="n">
        <v>15.8412</v>
      </c>
      <c r="D22" s="9" t="n">
        <v>29.4694</v>
      </c>
      <c r="E22" s="9" t="n">
        <v>4.95</v>
      </c>
      <c r="F22" s="9" t="n">
        <v>4.18</v>
      </c>
      <c r="G22" s="9" t="n">
        <v>5.44</v>
      </c>
      <c r="H22" s="9" t="n">
        <v>31</v>
      </c>
      <c r="I22" s="28">
        <f>B22*E22*H22</f>
        <v/>
      </c>
      <c r="J22" s="28">
        <f>C22*F22*H22</f>
        <v/>
      </c>
      <c r="K22" s="28">
        <f>D22*G22*H22</f>
        <v/>
      </c>
      <c r="L22" s="28">
        <f>SUM(I22:K22)</f>
        <v/>
      </c>
    </row>
    <row r="23">
      <c r="A23" s="10" t="n">
        <v>43983</v>
      </c>
      <c r="B23" s="11" t="n">
        <v>73.1062</v>
      </c>
      <c r="C23" s="11" t="n">
        <v>22.2459</v>
      </c>
      <c r="D23" s="11" t="n">
        <v>32.1614</v>
      </c>
      <c r="E23" s="11" t="n">
        <v>4.95</v>
      </c>
      <c r="F23" s="11" t="n">
        <v>4.18</v>
      </c>
      <c r="G23" s="11" t="n">
        <v>5.44</v>
      </c>
      <c r="H23" s="11" t="n">
        <v>30</v>
      </c>
      <c r="I23" s="28">
        <f>B23*E23*H23</f>
        <v/>
      </c>
      <c r="J23" s="28">
        <f>C23*F23*H23</f>
        <v/>
      </c>
      <c r="K23" s="28">
        <f>D23*G23*H23</f>
        <v/>
      </c>
      <c r="L23" s="28">
        <f>SUM(I23:K23)</f>
        <v/>
      </c>
    </row>
    <row r="24">
      <c r="A24" s="8" t="n">
        <v>44013</v>
      </c>
      <c r="B24" s="9" t="n">
        <v>75.95959999999999</v>
      </c>
      <c r="C24" s="9" t="n">
        <v>25.513</v>
      </c>
      <c r="D24" s="9" t="n">
        <v>32.0697</v>
      </c>
      <c r="E24" s="9" t="n">
        <v>4.95</v>
      </c>
      <c r="F24" s="9" t="n">
        <v>4.18</v>
      </c>
      <c r="G24" s="9" t="n">
        <v>5.44</v>
      </c>
      <c r="H24" s="9" t="n">
        <v>31</v>
      </c>
      <c r="I24" s="28">
        <f>B24*E24*H24</f>
        <v/>
      </c>
      <c r="J24" s="28">
        <f>C24*F24*H24</f>
        <v/>
      </c>
      <c r="K24" s="28">
        <f>D24*G24*H24</f>
        <v/>
      </c>
      <c r="L24" s="28">
        <f>SUM(I24:K24)</f>
        <v/>
      </c>
    </row>
    <row r="25">
      <c r="A25" s="10" t="n">
        <v>44044</v>
      </c>
      <c r="B25" s="11" t="n">
        <v>76.9132</v>
      </c>
      <c r="C25" s="11" t="n">
        <v>28.4064</v>
      </c>
      <c r="D25" s="11" t="n">
        <v>31.202</v>
      </c>
      <c r="E25" s="11" t="n">
        <v>4.95</v>
      </c>
      <c r="F25" s="11" t="n">
        <v>4.18</v>
      </c>
      <c r="G25" s="11" t="n">
        <v>5.44</v>
      </c>
      <c r="H25" s="11" t="n">
        <v>31</v>
      </c>
      <c r="I25" s="28">
        <f>B25*E25*H25</f>
        <v/>
      </c>
      <c r="J25" s="28">
        <f>C25*F25*H25</f>
        <v/>
      </c>
      <c r="K25" s="28">
        <f>D25*G25*H25</f>
        <v/>
      </c>
      <c r="L25" s="28">
        <f>SUM(I25:K25)</f>
        <v/>
      </c>
    </row>
    <row r="26">
      <c r="A26" s="8" t="n">
        <v>44075</v>
      </c>
      <c r="B26" s="9" t="n">
        <v>77.1058</v>
      </c>
      <c r="C26" s="9" t="n">
        <v>28.8535</v>
      </c>
      <c r="D26" s="9" t="n">
        <v>31.4044</v>
      </c>
      <c r="E26" s="9" t="n">
        <v>4.95</v>
      </c>
      <c r="F26" s="9" t="n">
        <v>4.18</v>
      </c>
      <c r="G26" s="9" t="n">
        <v>5.44</v>
      </c>
      <c r="H26" s="9" t="n">
        <v>30</v>
      </c>
      <c r="I26" s="28">
        <f>B26*E26*H26</f>
        <v/>
      </c>
      <c r="J26" s="28">
        <f>C26*F26*H26</f>
        <v/>
      </c>
      <c r="K26" s="28">
        <f>D26*G26*H26</f>
        <v/>
      </c>
      <c r="L26" s="28">
        <f>SUM(I26:K26)</f>
        <v/>
      </c>
    </row>
    <row r="27">
      <c r="A27" s="10" t="n">
        <v>44105</v>
      </c>
      <c r="B27" s="11" t="n">
        <v>79.4686</v>
      </c>
      <c r="C27" s="11" t="n">
        <v>29.7449</v>
      </c>
      <c r="D27" s="11" t="n">
        <v>33.8815</v>
      </c>
      <c r="E27" s="11" t="n">
        <v>4.95</v>
      </c>
      <c r="F27" s="11" t="n">
        <v>4.18</v>
      </c>
      <c r="G27" s="11" t="n">
        <v>5.44</v>
      </c>
      <c r="H27" s="11" t="n">
        <v>31</v>
      </c>
      <c r="I27" s="28">
        <f>B27*E27*H27</f>
        <v/>
      </c>
      <c r="J27" s="28">
        <f>C27*F27*H27</f>
        <v/>
      </c>
      <c r="K27" s="28">
        <f>D27*G27*H27</f>
        <v/>
      </c>
      <c r="L27" s="28">
        <f>SUM(I27:K27)</f>
        <v/>
      </c>
    </row>
    <row r="28">
      <c r="A28" s="8" t="n">
        <v>44136</v>
      </c>
      <c r="B28" s="9" t="n">
        <v>79.735</v>
      </c>
      <c r="C28" s="9" t="n">
        <v>29.9744</v>
      </c>
      <c r="D28" s="9" t="n">
        <v>34.0091</v>
      </c>
      <c r="E28" s="9" t="n">
        <v>4.95</v>
      </c>
      <c r="F28" s="9" t="n">
        <v>4.18</v>
      </c>
      <c r="G28" s="9" t="n">
        <v>5.44</v>
      </c>
      <c r="H28" s="9" t="n">
        <v>30</v>
      </c>
      <c r="I28" s="28">
        <f>B28*E28*H28</f>
        <v/>
      </c>
      <c r="J28" s="28">
        <f>C28*F28*H28</f>
        <v/>
      </c>
      <c r="K28" s="28">
        <f>D28*G28*H28</f>
        <v/>
      </c>
      <c r="L28" s="28">
        <f>SUM(I28:K28)</f>
        <v/>
      </c>
    </row>
    <row r="29">
      <c r="A29" s="10" t="n">
        <v>44166</v>
      </c>
      <c r="B29" s="11" t="n">
        <v>84.3201</v>
      </c>
      <c r="C29" s="11" t="n">
        <v>32.2027</v>
      </c>
      <c r="D29" s="11" t="n">
        <v>32.8851</v>
      </c>
      <c r="E29" s="11" t="n">
        <v>4.95</v>
      </c>
      <c r="F29" s="11" t="n">
        <v>4.18</v>
      </c>
      <c r="G29" s="11" t="n">
        <v>5.44</v>
      </c>
      <c r="H29" s="11" t="n">
        <v>31</v>
      </c>
      <c r="I29" s="28">
        <f>B29*E29*H29</f>
        <v/>
      </c>
      <c r="J29" s="28">
        <f>C29*F29*H29</f>
        <v/>
      </c>
      <c r="K29" s="28">
        <f>D29*G29*H29</f>
        <v/>
      </c>
      <c r="L29" s="28">
        <f>SUM(I29:K29)</f>
        <v/>
      </c>
    </row>
    <row r="30">
      <c r="A30" s="8" t="n">
        <v>44197</v>
      </c>
      <c r="B30" s="9" t="n">
        <v>76.19450000000001</v>
      </c>
      <c r="C30" s="9" t="n">
        <v>27.9229</v>
      </c>
      <c r="D30" s="9" t="n">
        <v>31.2167</v>
      </c>
      <c r="E30" s="9" t="n">
        <v>5.1148</v>
      </c>
      <c r="F30" s="9" t="n">
        <v>4.3192</v>
      </c>
      <c r="G30" s="9" t="n">
        <v>5.6212</v>
      </c>
      <c r="H30" s="9" t="n">
        <v>31</v>
      </c>
      <c r="I30" s="28">
        <f>B30*E30*H30</f>
        <v/>
      </c>
      <c r="J30" s="28">
        <f>C30*F30*H30</f>
        <v/>
      </c>
      <c r="K30" s="28">
        <f>D30*G30*H30</f>
        <v/>
      </c>
      <c r="L30" s="28">
        <f>SUM(I30:K30)</f>
        <v/>
      </c>
    </row>
    <row r="31">
      <c r="A31" s="10" t="n">
        <v>44228</v>
      </c>
      <c r="B31" s="11" t="n">
        <v>79.7959</v>
      </c>
      <c r="C31" s="11" t="n">
        <v>28.18</v>
      </c>
      <c r="D31" s="11" t="n">
        <v>33.1421</v>
      </c>
      <c r="E31" s="11" t="n">
        <v>4.661</v>
      </c>
      <c r="F31" s="11" t="n">
        <v>4.3183</v>
      </c>
      <c r="G31" s="11" t="n">
        <v>5.5304</v>
      </c>
      <c r="H31" s="11" t="n">
        <v>28</v>
      </c>
      <c r="I31" s="28">
        <f>B31*E31*H31</f>
        <v/>
      </c>
      <c r="J31" s="28">
        <f>C31*F31*H31</f>
        <v/>
      </c>
      <c r="K31" s="28">
        <f>D31*G31*H31</f>
        <v/>
      </c>
      <c r="L31" s="28">
        <f>SUM(I31:K31)</f>
        <v/>
      </c>
    </row>
    <row r="32">
      <c r="A32" s="8" t="n">
        <v>44256</v>
      </c>
      <c r="B32" s="9" t="n">
        <v>89.10550000000001</v>
      </c>
      <c r="C32" s="9" t="n">
        <v>25.4923</v>
      </c>
      <c r="D32" s="9" t="n">
        <v>36.0429</v>
      </c>
      <c r="E32" s="9" t="n">
        <v>2.9559</v>
      </c>
      <c r="F32" s="9" t="n">
        <v>3.8909</v>
      </c>
      <c r="G32" s="9" t="n">
        <v>4.6173</v>
      </c>
      <c r="H32" s="9" t="n">
        <v>31</v>
      </c>
      <c r="I32" s="28">
        <f>B32*E32*H32</f>
        <v/>
      </c>
      <c r="J32" s="28">
        <f>C32*F32*H32</f>
        <v/>
      </c>
      <c r="K32" s="28">
        <f>D32*G32*H32</f>
        <v/>
      </c>
      <c r="L32" s="28">
        <f>SUM(I32:K32)</f>
        <v/>
      </c>
    </row>
    <row r="33">
      <c r="A33" s="10" t="n">
        <v>44287</v>
      </c>
      <c r="B33" s="11" t="n">
        <v>90.8111</v>
      </c>
      <c r="C33" s="11" t="n">
        <v>24.156</v>
      </c>
      <c r="D33" s="11" t="n">
        <v>34.6875</v>
      </c>
      <c r="E33" s="11" t="n">
        <v>3.4973</v>
      </c>
      <c r="F33" s="11" t="n">
        <v>4.2922</v>
      </c>
      <c r="G33" s="11" t="n">
        <v>5.3732</v>
      </c>
      <c r="H33" s="11" t="n">
        <v>30</v>
      </c>
      <c r="I33" s="28">
        <f>B33*E33*H33</f>
        <v/>
      </c>
      <c r="J33" s="28">
        <f>C33*F33*H33</f>
        <v/>
      </c>
      <c r="K33" s="28">
        <f>D33*G33*H33</f>
        <v/>
      </c>
      <c r="L33" s="28">
        <f>SUM(I33:K33)</f>
        <v/>
      </c>
    </row>
    <row r="34">
      <c r="A34" s="8" t="n">
        <v>44317</v>
      </c>
      <c r="B34" s="9" t="n">
        <v>95.22150000000001</v>
      </c>
      <c r="C34" s="9" t="n">
        <v>24.2768</v>
      </c>
      <c r="D34" s="9" t="n">
        <v>35.3476</v>
      </c>
      <c r="E34" s="9" t="n">
        <v>3.2768</v>
      </c>
      <c r="F34" s="9" t="n">
        <v>4.044</v>
      </c>
      <c r="G34" s="9" t="n">
        <v>4.8175</v>
      </c>
      <c r="H34" s="9" t="n">
        <v>31</v>
      </c>
      <c r="I34" s="28">
        <f>B34*E34*H34</f>
        <v/>
      </c>
      <c r="J34" s="28">
        <f>C34*F34*H34</f>
        <v/>
      </c>
      <c r="K34" s="28">
        <f>D34*G34*H34</f>
        <v/>
      </c>
      <c r="L34" s="28">
        <f>SUM(I34:K34)</f>
        <v/>
      </c>
    </row>
    <row r="35">
      <c r="A35" s="10" t="n">
        <v>44348</v>
      </c>
      <c r="B35" s="11" t="n">
        <v>95.0719</v>
      </c>
      <c r="C35" s="11" t="n">
        <v>23.4924</v>
      </c>
      <c r="D35" s="11" t="n">
        <v>35.2105</v>
      </c>
      <c r="E35" s="11" t="n">
        <v>2.9342</v>
      </c>
      <c r="F35" s="11" t="n">
        <v>3.6649</v>
      </c>
      <c r="G35" s="11" t="n">
        <v>4.2338</v>
      </c>
      <c r="H35" s="11" t="n">
        <v>30</v>
      </c>
      <c r="I35" s="28">
        <f>B35*E35*H35</f>
        <v/>
      </c>
      <c r="J35" s="28">
        <f>C35*F35*H35</f>
        <v/>
      </c>
      <c r="K35" s="28">
        <f>D35*G35*H35</f>
        <v/>
      </c>
      <c r="L35" s="28">
        <f>SUM(I35:K35)</f>
        <v/>
      </c>
    </row>
    <row r="36">
      <c r="A36" s="8" t="n">
        <v>44378</v>
      </c>
      <c r="B36" s="9" t="n">
        <v>96.5317</v>
      </c>
      <c r="C36" s="9" t="n">
        <v>23.5938</v>
      </c>
      <c r="D36" s="9" t="n">
        <v>34.0764</v>
      </c>
      <c r="E36" s="9" t="n">
        <v>2.5084</v>
      </c>
      <c r="F36" s="9" t="n">
        <v>3.2383</v>
      </c>
      <c r="G36" s="9" t="n">
        <v>4.2956</v>
      </c>
      <c r="H36" s="9" t="n">
        <v>31</v>
      </c>
      <c r="I36" s="28">
        <f>B36*E36*H36</f>
        <v/>
      </c>
      <c r="J36" s="28">
        <f>C36*F36*H36</f>
        <v/>
      </c>
      <c r="K36" s="28">
        <f>D36*G36*H36</f>
        <v/>
      </c>
      <c r="L36" s="28">
        <f>SUM(I36:K36)</f>
        <v/>
      </c>
    </row>
    <row r="37">
      <c r="A37" s="10" t="n">
        <v>44409</v>
      </c>
      <c r="B37" s="11" t="n">
        <v>93.5476</v>
      </c>
      <c r="C37" s="11" t="n">
        <v>22.13</v>
      </c>
      <c r="D37" s="11" t="n">
        <v>32.3839</v>
      </c>
      <c r="E37" s="11" t="n">
        <v>2.5313</v>
      </c>
      <c r="F37" s="11" t="n">
        <v>3.4256</v>
      </c>
      <c r="G37" s="11" t="n">
        <v>4.5309</v>
      </c>
      <c r="H37" s="11" t="n">
        <v>31</v>
      </c>
      <c r="I37" s="28">
        <f>B37*E37*H37</f>
        <v/>
      </c>
      <c r="J37" s="28">
        <f>C37*F37*H37</f>
        <v/>
      </c>
      <c r="K37" s="28">
        <f>D37*G37*H37</f>
        <v/>
      </c>
      <c r="L37" s="28">
        <f>SUM(I37:K37)</f>
        <v/>
      </c>
    </row>
    <row r="38">
      <c r="A38" s="8" t="n">
        <v>44440</v>
      </c>
      <c r="B38" s="9" t="n">
        <v>94.9842</v>
      </c>
      <c r="C38" s="9" t="n">
        <v>22.0969</v>
      </c>
      <c r="D38" s="9" t="n">
        <v>31.9289</v>
      </c>
      <c r="E38" s="9" t="n">
        <v>2.4091</v>
      </c>
      <c r="F38" s="9" t="n">
        <v>3.2987</v>
      </c>
      <c r="G38" s="9" t="n">
        <v>4.1338</v>
      </c>
      <c r="H38" s="9" t="n">
        <v>30</v>
      </c>
      <c r="I38" s="28">
        <f>B38*E38*H38</f>
        <v/>
      </c>
      <c r="J38" s="28">
        <f>C38*F38*H38</f>
        <v/>
      </c>
      <c r="K38" s="28">
        <f>D38*G38*H38</f>
        <v/>
      </c>
      <c r="L38" s="28">
        <f>SUM(I38:K38)</f>
        <v/>
      </c>
    </row>
    <row r="39">
      <c r="A39" s="10" t="n">
        <v>44470</v>
      </c>
      <c r="B39" s="11" t="n">
        <v>98.19110000000001</v>
      </c>
      <c r="C39" s="11" t="n">
        <v>22.8963</v>
      </c>
      <c r="D39" s="11" t="n">
        <v>33.7565</v>
      </c>
      <c r="E39" s="11" t="n">
        <v>1.3779</v>
      </c>
      <c r="F39" s="11" t="n">
        <v>2.1777</v>
      </c>
      <c r="G39" s="11" t="n">
        <v>2.4941</v>
      </c>
      <c r="H39" s="11" t="n">
        <v>31</v>
      </c>
      <c r="I39" s="28">
        <f>B39*E39*H39</f>
        <v/>
      </c>
      <c r="J39" s="28">
        <f>C39*F39*H39</f>
        <v/>
      </c>
      <c r="K39" s="28">
        <f>D39*G39*H39</f>
        <v/>
      </c>
      <c r="L39" s="28">
        <f>SUM(I39:K39)</f>
        <v/>
      </c>
    </row>
    <row r="40">
      <c r="A40" s="8" t="n">
        <v>44501</v>
      </c>
      <c r="B40" s="9" t="n">
        <v>98.3075</v>
      </c>
      <c r="C40" s="9" t="n">
        <v>22.875</v>
      </c>
      <c r="D40" s="9" t="n">
        <v>35.5007</v>
      </c>
      <c r="E40" s="9" t="n">
        <v>1.3603</v>
      </c>
      <c r="F40" s="9" t="n">
        <v>2.1199</v>
      </c>
      <c r="G40" s="9" t="n">
        <v>2.5912</v>
      </c>
      <c r="H40" s="9" t="n">
        <v>30</v>
      </c>
      <c r="I40" s="28">
        <f>B40*E40*H40</f>
        <v/>
      </c>
      <c r="J40" s="28">
        <f>C40*F40*H40</f>
        <v/>
      </c>
      <c r="K40" s="28">
        <f>D40*G40*H40</f>
        <v/>
      </c>
      <c r="L40" s="28">
        <f>SUM(I40:K40)</f>
        <v/>
      </c>
    </row>
    <row r="41">
      <c r="A41" s="10" t="n">
        <v>44531</v>
      </c>
      <c r="B41" s="11" t="n">
        <v>104.7062</v>
      </c>
      <c r="C41" s="11" t="n">
        <v>24.6943</v>
      </c>
      <c r="D41" s="11" t="n">
        <v>34.2781</v>
      </c>
      <c r="E41" s="11" t="n">
        <v>2.5039</v>
      </c>
      <c r="F41" s="11" t="n">
        <v>3.3952</v>
      </c>
      <c r="G41" s="11" t="n">
        <v>3.6691</v>
      </c>
      <c r="H41" s="11" t="n">
        <v>31</v>
      </c>
      <c r="I41" s="28">
        <f>B41*E41*H41</f>
        <v/>
      </c>
      <c r="J41" s="28">
        <f>C41*F41*H41</f>
        <v/>
      </c>
      <c r="K41" s="28">
        <f>D41*G41*H41</f>
        <v/>
      </c>
      <c r="L41" s="28">
        <f>SUM(I41:K41)</f>
        <v/>
      </c>
    </row>
    <row r="42">
      <c r="A42" s="8" t="n">
        <v>44562</v>
      </c>
      <c r="B42" s="9" t="n">
        <v>91.428</v>
      </c>
      <c r="C42" s="9" t="n">
        <v>20.4996</v>
      </c>
      <c r="D42" s="9" t="n">
        <v>32.3363</v>
      </c>
      <c r="E42" s="9" t="n">
        <v>1.77</v>
      </c>
      <c r="F42" s="9" t="n">
        <v>2.7472</v>
      </c>
      <c r="G42" s="9" t="n">
        <v>2.6714</v>
      </c>
      <c r="H42" s="9" t="n">
        <v>31</v>
      </c>
      <c r="I42" s="28">
        <f>B42*E42*H42</f>
        <v/>
      </c>
      <c r="J42" s="28">
        <f>C42*F42*H42</f>
        <v/>
      </c>
      <c r="K42" s="28">
        <f>D42*G42*H42</f>
        <v/>
      </c>
      <c r="L42" s="28">
        <f>SUM(I42:K42)</f>
        <v/>
      </c>
    </row>
    <row r="43">
      <c r="A43" s="10" t="n">
        <v>44593</v>
      </c>
      <c r="B43" s="11" t="n">
        <v>98.8976</v>
      </c>
      <c r="C43" s="11" t="n">
        <v>22.2329</v>
      </c>
      <c r="D43" s="11" t="n">
        <v>35.0724</v>
      </c>
      <c r="E43" s="11" t="n">
        <v>0.2417</v>
      </c>
      <c r="F43" s="11" t="n">
        <v>1.1142</v>
      </c>
      <c r="G43" s="11" t="n">
        <v>0.9976</v>
      </c>
      <c r="H43" s="11" t="n">
        <v>28</v>
      </c>
      <c r="I43" s="28">
        <f>B43*E43*H43</f>
        <v/>
      </c>
      <c r="J43" s="28">
        <f>C43*F43*H43</f>
        <v/>
      </c>
      <c r="K43" s="28">
        <f>D43*G43*H43</f>
        <v/>
      </c>
      <c r="L43" s="28">
        <f>SUM(I43:K43)</f>
        <v/>
      </c>
    </row>
    <row r="44">
      <c r="A44" s="8" t="n">
        <v>44621</v>
      </c>
      <c r="B44" s="9" t="n">
        <v>103.8214</v>
      </c>
      <c r="C44" s="9" t="n">
        <v>23.4112</v>
      </c>
      <c r="D44" s="9" t="n">
        <v>39.2687</v>
      </c>
      <c r="E44" s="9" t="n">
        <v>-2.0099</v>
      </c>
      <c r="F44" s="9" t="n">
        <v>-1.0728</v>
      </c>
      <c r="G44" s="9" t="n">
        <v>-2.4164</v>
      </c>
      <c r="H44" s="9" t="n">
        <v>31</v>
      </c>
      <c r="I44" s="28">
        <f>B44*E44*H44</f>
        <v/>
      </c>
      <c r="J44" s="28">
        <f>C44*F44*H44</f>
        <v/>
      </c>
      <c r="K44" s="28">
        <f>D44*G44*H44</f>
        <v/>
      </c>
      <c r="L44" s="28">
        <f>SUM(I44:K44)</f>
        <v/>
      </c>
    </row>
    <row r="45">
      <c r="A45" s="10" t="n">
        <v>44652</v>
      </c>
      <c r="B45" s="11" t="n">
        <v>104.1986</v>
      </c>
      <c r="C45" s="11" t="n">
        <v>23.747</v>
      </c>
      <c r="D45" s="11" t="n">
        <v>40.4918</v>
      </c>
      <c r="E45" s="11" t="n">
        <v>-1.5361</v>
      </c>
      <c r="F45" s="11" t="n">
        <v>-0.7147</v>
      </c>
      <c r="G45" s="11" t="n">
        <v>-3.5135</v>
      </c>
      <c r="H45" s="11" t="n">
        <v>30</v>
      </c>
      <c r="I45" s="28">
        <f>B45*E45*H45</f>
        <v/>
      </c>
      <c r="J45" s="28">
        <f>C45*F45*H45</f>
        <v/>
      </c>
      <c r="K45" s="28">
        <f>D45*G45*H45</f>
        <v/>
      </c>
      <c r="L45" s="28">
        <f>SUM(I45:K45)</f>
        <v/>
      </c>
    </row>
    <row r="46">
      <c r="A46" s="8" t="n">
        <v>44682</v>
      </c>
      <c r="B46" s="9" t="n">
        <v>105.9899</v>
      </c>
      <c r="C46" s="9" t="n">
        <v>24.125</v>
      </c>
      <c r="D46" s="9" t="n">
        <v>42.2931</v>
      </c>
      <c r="E46" s="9" t="n">
        <v>-3.9286</v>
      </c>
      <c r="F46" s="9" t="n">
        <v>-3.6777</v>
      </c>
      <c r="G46" s="9" t="n">
        <v>-5.0997</v>
      </c>
      <c r="H46" s="9" t="n">
        <v>31</v>
      </c>
      <c r="I46" s="28">
        <f>B46*E46*H46</f>
        <v/>
      </c>
      <c r="J46" s="28">
        <f>C46*F46*H46</f>
        <v/>
      </c>
      <c r="K46" s="28">
        <f>D46*G46*H46</f>
        <v/>
      </c>
      <c r="L46" s="28">
        <f>SUM(I46:K46)</f>
        <v/>
      </c>
    </row>
    <row r="47">
      <c r="A47" s="10" t="n">
        <v>44713</v>
      </c>
      <c r="B47" s="11" t="n">
        <v>105.3999</v>
      </c>
      <c r="C47" s="11" t="n">
        <v>23.5676</v>
      </c>
      <c r="D47" s="11" t="n">
        <v>41.8367</v>
      </c>
      <c r="E47" s="11" t="n">
        <v>-6.0958</v>
      </c>
      <c r="F47" s="11" t="n">
        <v>-6.4971</v>
      </c>
      <c r="G47" s="11" t="n">
        <v>-5.7497</v>
      </c>
      <c r="H47" s="11" t="n">
        <v>30</v>
      </c>
      <c r="I47" s="28">
        <f>B47*E47*H47</f>
        <v/>
      </c>
      <c r="J47" s="28">
        <f>C47*F47*H47</f>
        <v/>
      </c>
      <c r="K47" s="28">
        <f>D47*G47*H47</f>
        <v/>
      </c>
      <c r="L47" s="28">
        <f>SUM(I47:K47)</f>
        <v/>
      </c>
    </row>
    <row r="48">
      <c r="A48" s="8" t="n">
        <v>44743</v>
      </c>
      <c r="B48" s="9" t="n">
        <v>104.8904</v>
      </c>
      <c r="C48" s="9" t="n">
        <v>23.2606</v>
      </c>
      <c r="D48" s="9" t="n">
        <v>38.9144</v>
      </c>
      <c r="E48" s="9" t="n">
        <v>-3.6066</v>
      </c>
      <c r="F48" s="9" t="n">
        <v>-3.6377</v>
      </c>
      <c r="G48" s="9" t="n">
        <v>-4.4978</v>
      </c>
      <c r="H48" s="9" t="n">
        <v>31</v>
      </c>
      <c r="I48" s="28">
        <f>B48*E48*H48</f>
        <v/>
      </c>
      <c r="J48" s="28">
        <f>C48*F48*H48</f>
        <v/>
      </c>
      <c r="K48" s="28">
        <f>D48*G48*H48</f>
        <v/>
      </c>
      <c r="L48" s="28">
        <f>SUM(I48:K48)</f>
        <v/>
      </c>
    </row>
    <row r="49">
      <c r="A49" s="10" t="n">
        <v>44774</v>
      </c>
      <c r="B49" s="11" t="n">
        <v>104.3042</v>
      </c>
      <c r="C49" s="11" t="n">
        <v>23.054</v>
      </c>
      <c r="D49" s="11" t="n">
        <v>38.6313</v>
      </c>
      <c r="E49" s="11" t="n">
        <v>-0.1742</v>
      </c>
      <c r="F49" s="11" t="n">
        <v>0.6367</v>
      </c>
      <c r="G49" s="11" t="n">
        <v>-2.0795</v>
      </c>
      <c r="H49" s="11" t="n">
        <v>31</v>
      </c>
      <c r="I49" s="28">
        <f>B49*E49*H49</f>
        <v/>
      </c>
      <c r="J49" s="28">
        <f>C49*F49*H49</f>
        <v/>
      </c>
      <c r="K49" s="28">
        <f>D49*G49*H49</f>
        <v/>
      </c>
      <c r="L49" s="28">
        <f>SUM(I49:K49)</f>
        <v/>
      </c>
    </row>
    <row r="50">
      <c r="A50" s="8" t="n">
        <v>44805</v>
      </c>
      <c r="B50" s="9" t="n">
        <v>105.4293</v>
      </c>
      <c r="C50" s="9" t="n">
        <v>22.801</v>
      </c>
      <c r="D50" s="9" t="n">
        <v>37.6339</v>
      </c>
      <c r="E50" s="9" t="n">
        <v>1.2188</v>
      </c>
      <c r="F50" s="9" t="n">
        <v>1.7828</v>
      </c>
      <c r="G50" s="9" t="n">
        <v>-1.9889</v>
      </c>
      <c r="H50" s="9" t="n">
        <v>30</v>
      </c>
      <c r="I50" s="28">
        <f>B50*E50*H50</f>
        <v/>
      </c>
      <c r="J50" s="28">
        <f>C50*F50*H50</f>
        <v/>
      </c>
      <c r="K50" s="28">
        <f>D50*G50*H50</f>
        <v/>
      </c>
      <c r="L50" s="28">
        <f>SUM(I50:K50)</f>
        <v/>
      </c>
    </row>
    <row r="51">
      <c r="A51" s="10" t="n">
        <v>44835</v>
      </c>
      <c r="B51" s="11" t="n">
        <v>106.8851</v>
      </c>
      <c r="C51" s="11" t="n">
        <v>22.8485</v>
      </c>
      <c r="D51" s="11" t="n">
        <v>39.2781</v>
      </c>
      <c r="E51" s="11" t="n">
        <v>0.2216</v>
      </c>
      <c r="F51" s="11" t="n">
        <v>0.7076</v>
      </c>
      <c r="G51" s="11" t="n">
        <v>-2.7798</v>
      </c>
      <c r="H51" s="11" t="n">
        <v>31</v>
      </c>
      <c r="I51" s="28">
        <f>B51*E51*H51</f>
        <v/>
      </c>
      <c r="J51" s="28">
        <f>C51*F51*H51</f>
        <v/>
      </c>
      <c r="K51" s="28">
        <f>D51*G51*H51</f>
        <v/>
      </c>
      <c r="L51" s="28">
        <f>SUM(I51:K51)</f>
        <v/>
      </c>
    </row>
    <row r="52">
      <c r="A52" s="8" t="n">
        <v>44866</v>
      </c>
      <c r="B52" s="9" t="n">
        <v>105.6419</v>
      </c>
      <c r="C52" s="9" t="n">
        <v>22.7114</v>
      </c>
      <c r="D52" s="9" t="n">
        <v>40.6248</v>
      </c>
      <c r="E52" s="9" t="n">
        <v>1.1891</v>
      </c>
      <c r="F52" s="9" t="n">
        <v>1.6088</v>
      </c>
      <c r="G52" s="9" t="n">
        <v>-1.661</v>
      </c>
      <c r="H52" s="9" t="n">
        <v>30</v>
      </c>
      <c r="I52" s="28">
        <f>B52*E52*H52</f>
        <v/>
      </c>
      <c r="J52" s="28">
        <f>C52*F52*H52</f>
        <v/>
      </c>
      <c r="K52" s="28">
        <f>D52*G52*H52</f>
        <v/>
      </c>
      <c r="L52" s="28">
        <f>SUM(I52:K52)</f>
        <v/>
      </c>
    </row>
    <row r="53">
      <c r="A53" s="10" t="n">
        <v>44896</v>
      </c>
      <c r="B53" s="11" t="n">
        <v>108.9429</v>
      </c>
      <c r="C53" s="11" t="n">
        <v>23.9373</v>
      </c>
      <c r="D53" s="11" t="n">
        <v>38.2916</v>
      </c>
      <c r="E53" s="11" t="n">
        <v>3.913</v>
      </c>
      <c r="F53" s="11" t="n">
        <v>4.5974</v>
      </c>
      <c r="G53" s="11" t="n">
        <v>1.7019</v>
      </c>
      <c r="H53" s="11" t="n">
        <v>31</v>
      </c>
      <c r="I53" s="28">
        <f>B53*E53*H53</f>
        <v/>
      </c>
      <c r="J53" s="28">
        <f>C53*F53*H53</f>
        <v/>
      </c>
      <c r="K53" s="28">
        <f>D53*G53*H53</f>
        <v/>
      </c>
      <c r="L53" s="28">
        <f>SUM(I53:K53)</f>
        <v/>
      </c>
    </row>
    <row r="54">
      <c r="A54" s="8" t="n">
        <v>44927</v>
      </c>
      <c r="B54" s="9" t="n">
        <v>103.3689</v>
      </c>
      <c r="C54" s="9" t="n">
        <v>22.6067</v>
      </c>
      <c r="D54" s="9" t="n">
        <v>38.567</v>
      </c>
      <c r="E54" s="9" t="n">
        <v>2.417</v>
      </c>
      <c r="F54" s="9" t="n">
        <v>3.0764</v>
      </c>
      <c r="G54" s="9" t="n">
        <v>0.4023</v>
      </c>
      <c r="H54" s="9" t="n">
        <v>31</v>
      </c>
      <c r="I54" s="28">
        <f>B54*E54*H54</f>
        <v/>
      </c>
      <c r="J54" s="28">
        <f>C54*F54*H54</f>
        <v/>
      </c>
      <c r="K54" s="28">
        <f>D54*G54*H54</f>
        <v/>
      </c>
      <c r="L54" s="28">
        <f>SUM(I54:K54)</f>
        <v/>
      </c>
    </row>
    <row r="55">
      <c r="A55" s="10" t="n">
        <v>44958</v>
      </c>
      <c r="B55" s="11" t="n">
        <v>106.2513</v>
      </c>
      <c r="C55" s="11" t="n">
        <v>23.1553</v>
      </c>
      <c r="D55" s="11" t="n">
        <v>39.6924</v>
      </c>
      <c r="E55" s="11" t="n">
        <v>2.6311</v>
      </c>
      <c r="F55" s="11" t="n">
        <v>3.2393</v>
      </c>
      <c r="G55" s="11" t="n">
        <v>2.5235</v>
      </c>
      <c r="H55" s="11" t="n">
        <v>28</v>
      </c>
      <c r="I55" s="28">
        <f>B55*E55*H55</f>
        <v/>
      </c>
      <c r="J55" s="28">
        <f>C55*F55*H55</f>
        <v/>
      </c>
      <c r="K55" s="28">
        <f>D55*G55*H55</f>
        <v/>
      </c>
      <c r="L55" s="28">
        <f>SUM(I55:K55)</f>
        <v/>
      </c>
    </row>
    <row r="56">
      <c r="A56" s="8" t="n">
        <v>44986</v>
      </c>
      <c r="B56" s="9" t="n">
        <v>106.1889</v>
      </c>
      <c r="C56" s="9" t="n">
        <v>23.3894</v>
      </c>
      <c r="D56" s="9" t="n">
        <v>40.6928</v>
      </c>
      <c r="E56" s="9" t="n">
        <v>3.2811</v>
      </c>
      <c r="F56" s="9" t="n">
        <v>4.0318</v>
      </c>
      <c r="G56" s="9" t="n">
        <v>3.7632</v>
      </c>
      <c r="H56" s="9" t="n">
        <v>31</v>
      </c>
      <c r="I56" s="28">
        <f>B56*E56*H56</f>
        <v/>
      </c>
      <c r="J56" s="28">
        <f>C56*F56*H56</f>
        <v/>
      </c>
      <c r="K56" s="28">
        <f>D56*G56*H56</f>
        <v/>
      </c>
      <c r="L56" s="28">
        <f>SUM(I56:K56)</f>
        <v/>
      </c>
    </row>
    <row r="57">
      <c r="A57" s="10" t="n">
        <v>45017</v>
      </c>
      <c r="B57" s="11" t="n">
        <v>104.0194</v>
      </c>
      <c r="C57" s="11" t="n">
        <v>23.2802</v>
      </c>
      <c r="D57" s="11" t="n">
        <v>38.3668</v>
      </c>
      <c r="E57" s="11" t="n">
        <v>3.2525</v>
      </c>
      <c r="F57" s="11" t="n">
        <v>3.6412</v>
      </c>
      <c r="G57" s="11" t="n">
        <v>4.7502</v>
      </c>
      <c r="H57" s="11" t="n">
        <v>30</v>
      </c>
      <c r="I57" s="28">
        <f>B57*E57*H57</f>
        <v/>
      </c>
      <c r="J57" s="28">
        <f>C57*F57*H57</f>
        <v/>
      </c>
      <c r="K57" s="28">
        <f>D57*G57*H57</f>
        <v/>
      </c>
      <c r="L57" s="28">
        <f>SUM(I57:K57)</f>
        <v/>
      </c>
    </row>
    <row r="58">
      <c r="A58" s="8" t="n">
        <v>45047</v>
      </c>
      <c r="B58" s="9" t="n">
        <v>106.454</v>
      </c>
      <c r="C58" s="9" t="n">
        <v>23.6143</v>
      </c>
      <c r="D58" s="9" t="n">
        <v>40.6787</v>
      </c>
      <c r="E58" s="9" t="n">
        <v>4.5794</v>
      </c>
      <c r="F58" s="9" t="n">
        <v>4.9326</v>
      </c>
      <c r="G58" s="9" t="n">
        <v>6.2398</v>
      </c>
      <c r="H58" s="9" t="n">
        <v>31</v>
      </c>
      <c r="I58" s="28">
        <f>B58*E58*H58</f>
        <v/>
      </c>
      <c r="J58" s="28">
        <f>C58*F58*H58</f>
        <v/>
      </c>
      <c r="K58" s="28">
        <f>D58*G58*H58</f>
        <v/>
      </c>
      <c r="L58" s="28">
        <f>SUM(I58:K58)</f>
        <v/>
      </c>
    </row>
    <row r="59">
      <c r="A59" s="10" t="n">
        <v>45078</v>
      </c>
      <c r="B59" s="11" t="n">
        <v>108.0574</v>
      </c>
      <c r="C59" s="11" t="n">
        <v>24.4204</v>
      </c>
      <c r="D59" s="11" t="n">
        <v>40.5882</v>
      </c>
      <c r="E59" s="11" t="n">
        <v>4.4668</v>
      </c>
      <c r="F59" s="11" t="n">
        <v>4.9791</v>
      </c>
      <c r="G59" s="11" t="n">
        <v>6.3589</v>
      </c>
      <c r="H59" s="11" t="n">
        <v>30</v>
      </c>
      <c r="I59" s="28">
        <f>B59*E59*H59</f>
        <v/>
      </c>
      <c r="J59" s="28">
        <f>C59*F59*H59</f>
        <v/>
      </c>
      <c r="K59" s="28">
        <f>D59*G59*H59</f>
        <v/>
      </c>
      <c r="L59" s="28">
        <f>SUM(I59:K59)</f>
        <v/>
      </c>
    </row>
    <row r="60">
      <c r="A60" s="8" t="n">
        <v>45108</v>
      </c>
      <c r="B60" s="9" t="n">
        <v>106.609</v>
      </c>
      <c r="C60" s="9" t="n">
        <v>24.1332</v>
      </c>
      <c r="D60" s="9" t="n">
        <v>38.7826</v>
      </c>
      <c r="E60" s="9" t="n">
        <v>4.5457</v>
      </c>
      <c r="F60" s="9" t="n">
        <v>4.7959</v>
      </c>
      <c r="G60" s="9" t="n">
        <v>6.1443</v>
      </c>
      <c r="H60" s="9" t="n">
        <v>31</v>
      </c>
      <c r="I60" s="28">
        <f>B60*E60*H60</f>
        <v/>
      </c>
      <c r="J60" s="28">
        <f>C60*F60*H60</f>
        <v/>
      </c>
      <c r="K60" s="28">
        <f>D60*G60*H60</f>
        <v/>
      </c>
      <c r="L60" s="28">
        <f>SUM(I60:K60)</f>
        <v/>
      </c>
    </row>
    <row r="61">
      <c r="A61" s="10" t="n">
        <v>45139</v>
      </c>
      <c r="B61" s="11" t="n">
        <v>104.796</v>
      </c>
      <c r="C61" s="11" t="n">
        <v>23.8562</v>
      </c>
      <c r="D61" s="11" t="n">
        <v>39.197</v>
      </c>
      <c r="E61" s="11" t="n">
        <v>2.8883</v>
      </c>
      <c r="F61" s="11" t="n">
        <v>3.305</v>
      </c>
      <c r="G61" s="11" t="n">
        <v>4.0703</v>
      </c>
      <c r="H61" s="11" t="n">
        <v>31</v>
      </c>
      <c r="I61" s="28">
        <f>B61*E61*H61</f>
        <v/>
      </c>
      <c r="J61" s="28">
        <f>C61*F61*H61</f>
        <v/>
      </c>
      <c r="K61" s="28">
        <f>D61*G61*H61</f>
        <v/>
      </c>
      <c r="L61" s="28">
        <f>SUM(I61:K61)</f>
        <v/>
      </c>
    </row>
    <row r="62">
      <c r="A62" s="8" t="n">
        <v>45170</v>
      </c>
      <c r="B62" s="9" t="n">
        <v>107.4078</v>
      </c>
      <c r="C62" s="9" t="n">
        <v>24.6576</v>
      </c>
      <c r="D62" s="9" t="n">
        <v>38.4684</v>
      </c>
      <c r="E62" s="9" t="n">
        <v>2.7362</v>
      </c>
      <c r="F62" s="9" t="n">
        <v>3.287</v>
      </c>
      <c r="G62" s="9" t="n">
        <v>2.994</v>
      </c>
      <c r="H62" s="9" t="n">
        <v>30</v>
      </c>
      <c r="I62" s="28">
        <f>B62*E62*H62</f>
        <v/>
      </c>
      <c r="J62" s="28">
        <f>C62*F62*H62</f>
        <v/>
      </c>
      <c r="K62" s="28">
        <f>D62*G62*H62</f>
        <v/>
      </c>
      <c r="L62" s="28">
        <f>SUM(I62:K62)</f>
        <v/>
      </c>
    </row>
    <row r="63">
      <c r="A63" s="10" t="n">
        <v>45200</v>
      </c>
      <c r="B63" s="11" t="n">
        <v>105.9388</v>
      </c>
      <c r="C63" s="11" t="n">
        <v>24.315</v>
      </c>
      <c r="D63" s="11" t="n">
        <v>39.0455</v>
      </c>
      <c r="E63" s="11" t="n">
        <v>4.2973</v>
      </c>
      <c r="F63" s="11" t="n">
        <v>4.6237</v>
      </c>
      <c r="G63" s="11" t="n">
        <v>3.0119</v>
      </c>
      <c r="H63" s="11" t="n">
        <v>31</v>
      </c>
      <c r="I63" s="28">
        <f>B63*E63*H63</f>
        <v/>
      </c>
      <c r="J63" s="28">
        <f>C63*F63*H63</f>
        <v/>
      </c>
      <c r="K63" s="28">
        <f>D63*G63*H63</f>
        <v/>
      </c>
      <c r="L63" s="28">
        <f>SUM(I63:K63)</f>
        <v/>
      </c>
    </row>
    <row r="64">
      <c r="A64" s="8" t="n">
        <v>45231</v>
      </c>
      <c r="B64" s="9" t="n">
        <v>104.4112</v>
      </c>
      <c r="C64" s="9" t="n">
        <v>24.4392</v>
      </c>
      <c r="D64" s="9" t="n">
        <v>39.7265</v>
      </c>
      <c r="E64" s="9" t="n">
        <v>5.6325</v>
      </c>
      <c r="F64" s="9" t="n">
        <v>4.9987</v>
      </c>
      <c r="G64" s="9" t="n">
        <v>4.8581</v>
      </c>
      <c r="H64" s="9" t="n">
        <v>30</v>
      </c>
      <c r="I64" s="28">
        <f>B64*E64*H64</f>
        <v/>
      </c>
      <c r="J64" s="28">
        <f>C64*F64*H64</f>
        <v/>
      </c>
      <c r="K64" s="28">
        <f>D64*G64*H64</f>
        <v/>
      </c>
      <c r="L64" s="28">
        <f>SUM(I64:K64)</f>
        <v/>
      </c>
    </row>
    <row r="65">
      <c r="A65" s="10" t="n">
        <v>45261</v>
      </c>
      <c r="B65" s="11" t="n">
        <v>99.5859</v>
      </c>
      <c r="C65" s="11" t="n">
        <v>24.3296</v>
      </c>
      <c r="D65" s="11" t="n">
        <v>34.2254</v>
      </c>
      <c r="E65" s="11" t="n">
        <v>5.9195</v>
      </c>
      <c r="F65" s="11" t="n">
        <v>4.9987</v>
      </c>
      <c r="G65" s="11" t="n">
        <v>6.4408</v>
      </c>
      <c r="H65" s="11" t="n">
        <v>31</v>
      </c>
      <c r="I65" s="28">
        <f>B65*E65*H65</f>
        <v/>
      </c>
      <c r="J65" s="28">
        <f>C65*F65*H65</f>
        <v/>
      </c>
      <c r="K65" s="28">
        <f>D65*G65*H65</f>
        <v/>
      </c>
      <c r="L65" s="28">
        <f>SUM(I65:K65)</f>
        <v/>
      </c>
    </row>
    <row r="66">
      <c r="A66" s="8" t="n">
        <v>45292</v>
      </c>
      <c r="B66" s="9" t="n">
        <v>101.4305</v>
      </c>
      <c r="C66" s="9" t="n">
        <v>25.3807</v>
      </c>
      <c r="D66" s="9" t="n">
        <v>38.7081</v>
      </c>
      <c r="E66" s="9" t="n">
        <v>6.1605</v>
      </c>
      <c r="F66" s="9" t="n">
        <v>5.2146</v>
      </c>
      <c r="G66" s="9" t="n">
        <v>6.5886</v>
      </c>
      <c r="H66" s="9" t="n">
        <v>31</v>
      </c>
      <c r="I66" s="28">
        <f>B66*E66*H66</f>
        <v/>
      </c>
      <c r="J66" s="28">
        <f>C66*F66*H66</f>
        <v/>
      </c>
      <c r="K66" s="28">
        <f>D66*G66*H66</f>
        <v/>
      </c>
      <c r="L66" s="28">
        <f>SUM(I66:K66)</f>
        <v/>
      </c>
    </row>
    <row r="67">
      <c r="A67" s="10" t="n">
        <v>45323</v>
      </c>
      <c r="B67" s="11" t="n">
        <v>104.7741</v>
      </c>
      <c r="C67" s="11" t="n">
        <v>26.9292</v>
      </c>
      <c r="D67" s="11" t="n">
        <v>39.6822</v>
      </c>
      <c r="E67" s="11" t="n">
        <v>5.6189</v>
      </c>
      <c r="F67" s="11" t="n">
        <v>5.2146</v>
      </c>
      <c r="G67" s="11" t="n">
        <v>5.6401</v>
      </c>
      <c r="H67" s="11" t="n">
        <v>29</v>
      </c>
      <c r="I67" s="28">
        <f>B67*E67*H67</f>
        <v/>
      </c>
      <c r="J67" s="28">
        <f>C67*F67*H67</f>
        <v/>
      </c>
      <c r="K67" s="28">
        <f>D67*G67*H67</f>
        <v/>
      </c>
      <c r="L67" s="28">
        <f>SUM(I67:K67)</f>
        <v/>
      </c>
    </row>
    <row r="68">
      <c r="A68" s="8" t="n">
        <v>45352</v>
      </c>
      <c r="B68" s="9" t="n">
        <v>104.3719</v>
      </c>
      <c r="C68" s="9" t="n">
        <v>27.1237</v>
      </c>
      <c r="D68" s="9" t="n">
        <v>38.3323</v>
      </c>
      <c r="E68" s="9" t="n">
        <v>5.1212</v>
      </c>
      <c r="F68" s="9" t="n">
        <v>5.2146</v>
      </c>
      <c r="G68" s="9" t="n">
        <v>6.2365</v>
      </c>
      <c r="H68" s="9" t="n">
        <v>31</v>
      </c>
      <c r="I68" s="28">
        <f>B68*E68*H68</f>
        <v/>
      </c>
      <c r="J68" s="28">
        <f>C68*F68*H68</f>
        <v/>
      </c>
      <c r="K68" s="28">
        <f>D68*G68*H68</f>
        <v/>
      </c>
      <c r="L68" s="28">
        <f>SUM(I68:K68)</f>
        <v/>
      </c>
    </row>
    <row r="69">
      <c r="A69" s="10" t="n">
        <v>45383</v>
      </c>
      <c r="B69" s="11" t="n">
        <v>105.035</v>
      </c>
      <c r="C69" s="11" t="n">
        <v>27.0128</v>
      </c>
      <c r="D69" s="11" t="n">
        <v>41.5254</v>
      </c>
      <c r="E69" s="11" t="n">
        <v>5.2183</v>
      </c>
      <c r="F69" s="11" t="n">
        <v>5.2146</v>
      </c>
      <c r="G69" s="11" t="n">
        <v>6.5983</v>
      </c>
      <c r="H69" s="11" t="n">
        <v>30</v>
      </c>
      <c r="I69" s="28">
        <f>B69*E69*H69</f>
        <v/>
      </c>
      <c r="J69" s="28">
        <f>C69*F69*H69</f>
        <v/>
      </c>
      <c r="K69" s="28">
        <f>D69*G69*H69</f>
        <v/>
      </c>
      <c r="L69" s="28">
        <f>SUM(I69:K69)</f>
        <v/>
      </c>
    </row>
    <row r="70">
      <c r="A70" s="8" t="n">
        <v>45413</v>
      </c>
      <c r="B70" s="9" t="n">
        <v>106.6666</v>
      </c>
      <c r="C70" s="9" t="n">
        <v>28.0555</v>
      </c>
      <c r="D70" s="9" t="n">
        <v>41.1695</v>
      </c>
      <c r="E70" s="9" t="n">
        <v>5.8909</v>
      </c>
      <c r="F70" s="9" t="n">
        <v>5.2146</v>
      </c>
      <c r="G70" s="9" t="n">
        <v>6.7865</v>
      </c>
      <c r="H70" s="9" t="n">
        <v>31</v>
      </c>
      <c r="I70" s="28">
        <f>B70*E70*H70</f>
        <v/>
      </c>
      <c r="J70" s="28">
        <f>C70*F70*H70</f>
        <v/>
      </c>
      <c r="K70" s="28">
        <f>D70*G70*H70</f>
        <v/>
      </c>
      <c r="L70" s="28">
        <f>SUM(I70:K70)</f>
        <v/>
      </c>
    </row>
    <row r="71">
      <c r="A71" s="10" t="n">
        <v>45444</v>
      </c>
      <c r="B71" s="11" t="n">
        <v>105.2997</v>
      </c>
      <c r="C71" s="11" t="n">
        <v>28.0934</v>
      </c>
      <c r="D71" s="11" t="n">
        <v>39.5182</v>
      </c>
      <c r="E71" s="11" t="n">
        <v>6.0335</v>
      </c>
      <c r="F71" s="11" t="n">
        <v>5.2146</v>
      </c>
      <c r="G71" s="11" t="n">
        <v>6.6643</v>
      </c>
      <c r="H71" s="11" t="n">
        <v>30</v>
      </c>
      <c r="I71" s="28">
        <f>B71*E71*H71</f>
        <v/>
      </c>
      <c r="J71" s="28">
        <f>C71*F71*H71</f>
        <v/>
      </c>
      <c r="K71" s="28">
        <f>D71*G71*H71</f>
        <v/>
      </c>
      <c r="L71" s="28">
        <f>SUM(I71:K71)</f>
        <v/>
      </c>
    </row>
    <row r="72">
      <c r="A72" s="8" t="n">
        <v>45474</v>
      </c>
      <c r="B72" s="9" t="n">
        <v>103.1456</v>
      </c>
      <c r="C72" s="9" t="n">
        <v>27.6506</v>
      </c>
      <c r="D72" s="9" t="n">
        <v>39.3264</v>
      </c>
      <c r="E72" s="9" t="n">
        <v>5.587</v>
      </c>
      <c r="F72" s="9" t="n">
        <v>5.0013</v>
      </c>
      <c r="G72" s="9" t="n">
        <v>6.6458</v>
      </c>
      <c r="H72" s="9" t="n">
        <v>31</v>
      </c>
      <c r="I72" s="28">
        <f>B72*E72*H72</f>
        <v/>
      </c>
      <c r="J72" s="28">
        <f>C72*F72*H72</f>
        <v/>
      </c>
      <c r="K72" s="28">
        <f>D72*G72*H72</f>
        <v/>
      </c>
      <c r="L72" s="28">
        <f>SUM(I72:K72)</f>
        <v/>
      </c>
    </row>
    <row r="73">
      <c r="A73" s="10" t="n">
        <v>45505</v>
      </c>
      <c r="B73" s="11" t="n">
        <v>103.7318</v>
      </c>
      <c r="C73" s="11" t="n">
        <v>28.4451</v>
      </c>
      <c r="D73" s="11" t="n">
        <v>38.974</v>
      </c>
      <c r="E73" s="11" t="n">
        <v>5.6269</v>
      </c>
      <c r="F73" s="11" t="n">
        <v>5.2146</v>
      </c>
      <c r="G73" s="11" t="n">
        <v>6.7865</v>
      </c>
      <c r="H73" s="11" t="n">
        <v>31</v>
      </c>
      <c r="I73" s="28">
        <f>B73*E73*H73</f>
        <v/>
      </c>
      <c r="J73" s="28">
        <f>C73*F73*H73</f>
        <v/>
      </c>
      <c r="K73" s="28">
        <f>D73*G73*H73</f>
        <v/>
      </c>
      <c r="L73" s="28">
        <f>SUM(I73:K73)</f>
        <v/>
      </c>
    </row>
    <row r="74">
      <c r="A74" s="8" t="n">
        <v>45536</v>
      </c>
      <c r="B74" s="9" t="n">
        <v>102.0922</v>
      </c>
      <c r="C74" s="9" t="n">
        <v>28.4586</v>
      </c>
      <c r="D74" s="9" t="n">
        <v>36.4627</v>
      </c>
      <c r="E74" s="9" t="n">
        <v>6.1343</v>
      </c>
      <c r="F74" s="9" t="n">
        <v>5.2146</v>
      </c>
      <c r="G74" s="9" t="n">
        <v>6.7865</v>
      </c>
      <c r="H74" s="9" t="n">
        <v>30</v>
      </c>
      <c r="I74" s="28">
        <f>B74*E74*H74</f>
        <v/>
      </c>
      <c r="J74" s="28">
        <f>C74*F74*H74</f>
        <v/>
      </c>
      <c r="K74" s="28">
        <f>D74*G74*H74</f>
        <v/>
      </c>
      <c r="L74" s="28">
        <f>SUM(I74:K74)</f>
        <v/>
      </c>
    </row>
    <row r="75">
      <c r="A75" s="10" t="n">
        <v>45566</v>
      </c>
      <c r="B75" s="11" t="n">
        <v>100.864</v>
      </c>
      <c r="C75" s="11" t="n">
        <v>28.7214</v>
      </c>
      <c r="D75" s="11" t="n">
        <v>39.0291</v>
      </c>
      <c r="E75" s="11" t="n">
        <v>6.0598</v>
      </c>
      <c r="F75" s="11" t="n">
        <v>5.2146</v>
      </c>
      <c r="G75" s="11" t="n">
        <v>6.7865</v>
      </c>
      <c r="H75" s="11" t="n">
        <v>31</v>
      </c>
      <c r="I75" s="28">
        <f>B75*E75*H75</f>
        <v/>
      </c>
      <c r="J75" s="28">
        <f>C75*F75*H75</f>
        <v/>
      </c>
      <c r="K75" s="28">
        <f>D75*G75*H75</f>
        <v/>
      </c>
      <c r="L75" s="28">
        <f>SUM(I75:K75)</f>
        <v/>
      </c>
    </row>
    <row r="76">
      <c r="A76" s="8" t="n">
        <v>45597</v>
      </c>
      <c r="B76" s="9" t="n">
        <v>102.1552</v>
      </c>
      <c r="C76" s="9" t="n">
        <v>30.1875</v>
      </c>
      <c r="D76" s="9" t="n">
        <v>39.3978</v>
      </c>
      <c r="E76" s="9" t="n">
        <v>6.1663</v>
      </c>
      <c r="F76" s="9" t="n">
        <v>5.2146</v>
      </c>
      <c r="G76" s="9" t="n">
        <v>6.7858</v>
      </c>
      <c r="H76" s="9" t="n">
        <v>30</v>
      </c>
      <c r="I76" s="28">
        <f>B76*E76*H76</f>
        <v/>
      </c>
      <c r="J76" s="28">
        <f>C76*F76*H76</f>
        <v/>
      </c>
      <c r="K76" s="28">
        <f>D76*G76*H76</f>
        <v/>
      </c>
      <c r="L76" s="28">
        <f>SUM(I76:K76)</f>
        <v/>
      </c>
    </row>
    <row r="77">
      <c r="A77" s="10" t="n">
        <v>45627</v>
      </c>
      <c r="B77" s="11" t="n">
        <v>100.6813</v>
      </c>
      <c r="C77" s="11" t="n">
        <v>31.0113</v>
      </c>
      <c r="D77" s="11" t="n">
        <v>35.5418</v>
      </c>
      <c r="E77" s="11" t="n">
        <v>6.1625</v>
      </c>
      <c r="F77" s="11" t="n">
        <v>5.2146</v>
      </c>
      <c r="G77" s="11" t="n">
        <v>6.7808</v>
      </c>
      <c r="H77" s="11" t="n">
        <v>31</v>
      </c>
      <c r="I77" s="28">
        <f>B77*E77*H77</f>
        <v/>
      </c>
      <c r="J77" s="28">
        <f>C77*F77*H77</f>
        <v/>
      </c>
      <c r="K77" s="28">
        <f>D77*G77*H77</f>
        <v/>
      </c>
      <c r="L77" s="28">
        <f>SUM(I77:K77)</f>
        <v/>
      </c>
    </row>
    <row r="78">
      <c r="A78" s="8" t="n">
        <v>45658</v>
      </c>
      <c r="B78" s="9" t="n">
        <v>94.839</v>
      </c>
      <c r="C78" s="9" t="n">
        <v>29.497</v>
      </c>
      <c r="D78" s="9" t="n">
        <v>37.3448</v>
      </c>
      <c r="E78" s="9" t="n">
        <v>5.5919</v>
      </c>
      <c r="F78" s="9" t="n">
        <v>5.4513</v>
      </c>
      <c r="G78" s="9" t="n">
        <v>5.9837</v>
      </c>
      <c r="H78" s="9" t="n">
        <v>31</v>
      </c>
      <c r="I78" s="28">
        <f>B78*E78*H78</f>
        <v/>
      </c>
      <c r="J78" s="28">
        <f>C78*F78*H78</f>
        <v/>
      </c>
      <c r="K78" s="28">
        <f>D78*G78*H78</f>
        <v/>
      </c>
      <c r="L78" s="28">
        <f>SUM(I78:K78)</f>
        <v/>
      </c>
    </row>
    <row r="79">
      <c r="A79" s="10" t="n">
        <v>45689</v>
      </c>
      <c r="B79" s="11" t="n">
        <v>98.67010000000001</v>
      </c>
      <c r="C79" s="11" t="n">
        <v>30.6234</v>
      </c>
      <c r="D79" s="11" t="n">
        <v>38.8097</v>
      </c>
      <c r="E79" s="11" t="n">
        <v>5.5082</v>
      </c>
      <c r="F79" s="11" t="n">
        <v>5.4513</v>
      </c>
      <c r="G79" s="11" t="n">
        <v>5.9646</v>
      </c>
      <c r="H79" s="11" t="n">
        <v>28</v>
      </c>
      <c r="I79" s="28">
        <f>B79*E79*H79</f>
        <v/>
      </c>
      <c r="J79" s="28">
        <f>C79*F79*H79</f>
        <v/>
      </c>
      <c r="K79" s="28">
        <f>D79*G79*H79</f>
        <v/>
      </c>
      <c r="L79" s="28">
        <f>SUM(I79:K79)</f>
        <v/>
      </c>
    </row>
    <row r="80">
      <c r="A80" s="8" t="n">
        <v>45717</v>
      </c>
      <c r="B80" s="9" t="n">
        <v>100.6332</v>
      </c>
      <c r="C80" s="9" t="n">
        <v>30.9955</v>
      </c>
      <c r="D80" s="9" t="n">
        <v>39.1693</v>
      </c>
      <c r="E80" s="9" t="n">
        <v>6.2821</v>
      </c>
      <c r="F80" s="9" t="n">
        <v>5.4513</v>
      </c>
      <c r="G80" s="9" t="n">
        <v>6.8774</v>
      </c>
      <c r="H80" s="9" t="n">
        <v>31</v>
      </c>
      <c r="I80" s="28">
        <f>B80*E80*H80</f>
        <v/>
      </c>
      <c r="J80" s="28">
        <f>C80*F80*H80</f>
        <v/>
      </c>
      <c r="K80" s="28">
        <f>D80*G80*H80</f>
        <v/>
      </c>
      <c r="L80" s="28">
        <f>SUM(I80:K80)</f>
        <v/>
      </c>
    </row>
    <row r="81">
      <c r="A81" s="10" t="n">
        <v>45748</v>
      </c>
      <c r="B81" s="11" t="n">
        <v>94.4579</v>
      </c>
      <c r="C81" s="11" t="n">
        <v>29.3388</v>
      </c>
      <c r="D81" s="11" t="n">
        <v>37.5262</v>
      </c>
      <c r="E81" s="11" t="n">
        <v>6.258</v>
      </c>
      <c r="F81" s="11" t="n">
        <v>5.4513</v>
      </c>
      <c r="G81" s="11" t="n">
        <v>7.09</v>
      </c>
      <c r="H81" s="11" t="n">
        <v>30</v>
      </c>
      <c r="I81" s="28">
        <f>B81*E81*H81</f>
        <v/>
      </c>
      <c r="J81" s="28">
        <f>C81*F81*H81</f>
        <v/>
      </c>
      <c r="K81" s="28">
        <f>D81*G81*H81</f>
        <v/>
      </c>
      <c r="L81" s="28">
        <f>SUM(I81:K81)</f>
        <v/>
      </c>
    </row>
    <row r="82">
      <c r="A82" s="8" t="n">
        <v>45778</v>
      </c>
      <c r="B82" s="9" t="n">
        <v>102.1024</v>
      </c>
      <c r="C82" s="9" t="n">
        <v>31.8985</v>
      </c>
      <c r="D82" s="9" t="n">
        <v>40.1956</v>
      </c>
      <c r="E82" s="9" t="n">
        <v>6.4555</v>
      </c>
      <c r="F82" s="9" t="n">
        <v>5.4513</v>
      </c>
      <c r="G82" s="9" t="n">
        <v>7.0946</v>
      </c>
      <c r="H82" s="9" t="n">
        <v>31</v>
      </c>
      <c r="I82" s="28">
        <f>B82*E82*H82</f>
        <v/>
      </c>
      <c r="J82" s="28">
        <f>C82*F82*H82</f>
        <v/>
      </c>
      <c r="K82" s="28">
        <f>D82*G82*H82</f>
        <v/>
      </c>
      <c r="L82" s="28">
        <f>SUM(I82:K82)</f>
        <v/>
      </c>
    </row>
    <row r="83">
      <c r="A83" s="10" t="n">
        <v>45809</v>
      </c>
      <c r="B83" s="11" t="n">
        <v>99.994</v>
      </c>
      <c r="C83" s="11" t="n">
        <v>31.1453</v>
      </c>
      <c r="D83" s="11" t="n">
        <v>38.8023</v>
      </c>
      <c r="E83" s="11" t="n">
        <v>6.4555</v>
      </c>
      <c r="F83" s="11" t="n">
        <v>5.4513</v>
      </c>
      <c r="G83" s="11" t="n">
        <v>7.0946</v>
      </c>
      <c r="H83" s="11" t="n">
        <v>30</v>
      </c>
      <c r="I83" s="28">
        <f>B83*E83*H83</f>
        <v/>
      </c>
      <c r="J83" s="28">
        <f>C83*F83*H83</f>
        <v/>
      </c>
      <c r="K83" s="28">
        <f>D83*G83*H83</f>
        <v/>
      </c>
      <c r="L83" s="28">
        <f>SUM(I83:K83)</f>
        <v/>
      </c>
    </row>
    <row r="84">
      <c r="A84" s="8" t="n">
        <v>45839</v>
      </c>
      <c r="B84" s="9" t="n">
        <v>100.4373</v>
      </c>
      <c r="C84" s="9" t="n">
        <v>31.1625</v>
      </c>
      <c r="D84" s="9" t="n">
        <v>39.1884</v>
      </c>
      <c r="E84" s="9" t="n">
        <v>6.4555</v>
      </c>
      <c r="F84" s="9" t="n">
        <v>5.4513</v>
      </c>
      <c r="G84" s="9" t="n">
        <v>7.0946</v>
      </c>
      <c r="H84" s="9" t="n">
        <v>31</v>
      </c>
      <c r="I84" s="28">
        <f>B84*E84*H84</f>
        <v/>
      </c>
      <c r="J84" s="28">
        <f>C84*F84*H84</f>
        <v/>
      </c>
      <c r="K84" s="28">
        <f>D84*G84*H84</f>
        <v/>
      </c>
      <c r="L84" s="28">
        <f>SUM(I84:K84)</f>
        <v/>
      </c>
    </row>
    <row r="85">
      <c r="A85" s="10" t="n">
        <v>45870</v>
      </c>
      <c r="B85" s="11" t="n">
        <v>101.2901</v>
      </c>
      <c r="C85" s="11" t="n">
        <v>32.1437</v>
      </c>
      <c r="D85" s="11" t="n">
        <v>38.3146</v>
      </c>
      <c r="E85" s="11" t="n">
        <v>6.4555</v>
      </c>
      <c r="F85" s="11" t="n">
        <v>5.4513</v>
      </c>
      <c r="G85" s="11" t="n">
        <v>7.0946</v>
      </c>
      <c r="H85" s="11" t="n">
        <v>31</v>
      </c>
      <c r="I85" s="28">
        <f>B85*E85*H85</f>
        <v/>
      </c>
      <c r="J85" s="28">
        <f>C85*F85*H85</f>
        <v/>
      </c>
      <c r="K85" s="28">
        <f>D85*G85*H85</f>
        <v/>
      </c>
      <c r="L85" s="28">
        <f>SUM(I85:K85)</f>
        <v/>
      </c>
    </row>
    <row r="86">
      <c r="A86" s="8" t="n">
        <v>45901</v>
      </c>
      <c r="B86" s="9" t="n">
        <v>101.539</v>
      </c>
      <c r="C86" s="9" t="n">
        <v>31.9081</v>
      </c>
      <c r="D86" s="9" t="n">
        <v>38.2247</v>
      </c>
      <c r="E86" s="9" t="n">
        <v>6.4555</v>
      </c>
      <c r="F86" s="9" t="n">
        <v>5.4513</v>
      </c>
      <c r="G86" s="9" t="n">
        <v>7.0946</v>
      </c>
      <c r="H86" s="9" t="n">
        <v>30</v>
      </c>
      <c r="I86" s="28">
        <f>B86*E86*H86</f>
        <v/>
      </c>
      <c r="J86" s="28">
        <f>C86*F86*H86</f>
        <v/>
      </c>
      <c r="K86" s="28">
        <f>D86*G86*H86</f>
        <v/>
      </c>
      <c r="L86" s="28">
        <f>SUM(I86:K86)</f>
        <v/>
      </c>
    </row>
    <row r="87">
      <c r="A87" s="10" t="n">
        <v>45931</v>
      </c>
      <c r="B87" s="11" t="n">
        <v>101.7559</v>
      </c>
      <c r="C87" s="11" t="n">
        <v>31.5328</v>
      </c>
      <c r="D87" s="11" t="n">
        <v>40.5924</v>
      </c>
      <c r="E87" s="11" t="n">
        <v>6.4555</v>
      </c>
      <c r="F87" s="11" t="n">
        <v>5.4513</v>
      </c>
      <c r="G87" s="11" t="n">
        <v>7.0946</v>
      </c>
      <c r="H87" s="11" t="n">
        <v>31</v>
      </c>
      <c r="I87" s="28">
        <f>B87*E87*H87</f>
        <v/>
      </c>
      <c r="J87" s="28">
        <f>C87*F87*H87</f>
        <v/>
      </c>
      <c r="K87" s="28">
        <f>D87*G87*H87</f>
        <v/>
      </c>
      <c r="L87" s="28">
        <f>SUM(I87:K87)</f>
        <v/>
      </c>
    </row>
    <row r="88">
      <c r="A88" s="8" t="n">
        <v>45962</v>
      </c>
      <c r="B88" s="9" t="n">
        <v>101.5526</v>
      </c>
      <c r="C88" s="9" t="n">
        <v>31.705</v>
      </c>
      <c r="D88" s="9" t="n">
        <v>40.8273</v>
      </c>
      <c r="E88" s="9" t="n">
        <v>6.4555</v>
      </c>
      <c r="F88" s="9" t="n">
        <v>5.4513</v>
      </c>
      <c r="G88" s="9" t="n">
        <v>7.0946</v>
      </c>
      <c r="H88" s="9" t="n">
        <v>30</v>
      </c>
      <c r="I88" s="28">
        <f>B88*E88*H88</f>
        <v/>
      </c>
      <c r="J88" s="28">
        <f>C88*F88*H88</f>
        <v/>
      </c>
      <c r="K88" s="28">
        <f>D88*G88*H88</f>
        <v/>
      </c>
      <c r="L88" s="28">
        <f>SUM(I88:K88)</f>
        <v/>
      </c>
    </row>
    <row r="89">
      <c r="A89" s="10" t="n">
        <v>45992</v>
      </c>
      <c r="B89" s="11" t="n">
        <v>103.3434</v>
      </c>
      <c r="C89" s="11" t="n">
        <v>32.5673</v>
      </c>
      <c r="D89" s="11" t="n">
        <v>38.6641</v>
      </c>
      <c r="E89" s="11" t="n">
        <v>6.4555</v>
      </c>
      <c r="F89" s="11" t="n">
        <v>5.4513</v>
      </c>
      <c r="G89" s="11" t="n">
        <v>7.0946</v>
      </c>
      <c r="H89" s="11" t="n">
        <v>31</v>
      </c>
      <c r="I89" s="28">
        <f>B89*E89*H89</f>
        <v/>
      </c>
      <c r="J89" s="28">
        <f>C89*F89*H89</f>
        <v/>
      </c>
      <c r="K89" s="28">
        <f>D89*G89*H89</f>
        <v/>
      </c>
      <c r="L89" s="28">
        <f>SUM(I89:K89)</f>
        <v/>
      </c>
    </row>
    <row r="90">
      <c r="A90" s="8" t="n">
        <v>46023</v>
      </c>
      <c r="B90" s="9" t="n">
        <v>97.0086</v>
      </c>
      <c r="C90" s="9" t="n">
        <v>30.4543</v>
      </c>
      <c r="D90" s="9" t="n">
        <v>38.7593</v>
      </c>
      <c r="E90" s="9" t="n">
        <v>6.7001</v>
      </c>
      <c r="F90" s="9" t="n">
        <v>5.6579</v>
      </c>
      <c r="G90" s="9" t="n">
        <v>7.3634</v>
      </c>
      <c r="H90" s="9" t="n">
        <v>31</v>
      </c>
      <c r="I90" s="28">
        <f>B90*E90*H90</f>
        <v/>
      </c>
      <c r="J90" s="28">
        <f>C90*F90*H90</f>
        <v/>
      </c>
      <c r="K90" s="28">
        <f>D90*G90*H90</f>
        <v/>
      </c>
      <c r="L90" s="28">
        <f>SUM(I90:K90)</f>
        <v/>
      </c>
    </row>
    <row r="91">
      <c r="A91" s="10" t="n">
        <v>46054</v>
      </c>
      <c r="B91" s="11" t="n">
        <v>94.2239</v>
      </c>
      <c r="C91" s="11" t="n">
        <v>29.6809</v>
      </c>
      <c r="D91" s="11" t="n">
        <v>38.1642</v>
      </c>
      <c r="E91" s="11" t="n">
        <v>6.7001</v>
      </c>
      <c r="F91" s="11" t="n">
        <v>5.6579</v>
      </c>
      <c r="G91" s="11" t="n">
        <v>7.3634</v>
      </c>
      <c r="H91" s="11" t="n">
        <v>28</v>
      </c>
      <c r="I91" s="28">
        <f>B91*E91*H91</f>
        <v/>
      </c>
      <c r="J91" s="28">
        <f>C91*F91*H91</f>
        <v/>
      </c>
      <c r="K91" s="28">
        <f>D91*G91*H91</f>
        <v/>
      </c>
      <c r="L91" s="28">
        <f>SUM(I91:K91)</f>
        <v/>
      </c>
    </row>
    <row r="92">
      <c r="A92" s="8" t="n">
        <v>46082</v>
      </c>
      <c r="B92" s="9" t="n">
        <v>103.0462</v>
      </c>
      <c r="C92" s="9" t="n">
        <v>30.8474</v>
      </c>
      <c r="D92" s="9" t="n">
        <v>42.1273</v>
      </c>
      <c r="E92" s="9" t="n">
        <v>6.1359</v>
      </c>
      <c r="F92" s="9" t="n">
        <v>5.5044</v>
      </c>
      <c r="G92" s="9" t="n">
        <v>5.0828</v>
      </c>
      <c r="H92" s="9" t="n">
        <v>31</v>
      </c>
      <c r="I92" s="28">
        <f>B92*E92*H92</f>
        <v/>
      </c>
      <c r="J92" s="28">
        <f>C92*F92*H92</f>
        <v/>
      </c>
      <c r="K92" s="28">
        <f>D92*G92*H92</f>
        <v/>
      </c>
      <c r="L92" s="28">
        <f>SUM(I92:K92)</f>
        <v/>
      </c>
    </row>
    <row r="93">
      <c r="A93" s="10" t="n">
        <v>46113</v>
      </c>
      <c r="B93" s="11" t="n">
        <v>106.0956</v>
      </c>
      <c r="C93" s="11" t="n">
        <v>27.4947</v>
      </c>
      <c r="D93" s="11" t="n">
        <v>41.926</v>
      </c>
      <c r="E93" s="11" t="n">
        <v>5.2411</v>
      </c>
      <c r="F93" s="11" t="n">
        <v>5.2513</v>
      </c>
      <c r="G93" s="11" t="n">
        <v>2.8395</v>
      </c>
      <c r="H93" s="11" t="n">
        <v>30</v>
      </c>
      <c r="I93" s="28">
        <f>B93*E93*H93</f>
        <v/>
      </c>
      <c r="J93" s="28">
        <f>C93*F93*H93</f>
        <v/>
      </c>
      <c r="K93" s="28">
        <f>D93*G93*H93</f>
        <v/>
      </c>
      <c r="L93" s="28">
        <f>SUM(I93:K93)</f>
        <v/>
      </c>
    </row>
    <row r="94">
      <c r="A94" s="8" t="n">
        <v>46143</v>
      </c>
      <c r="B94" s="9" t="n">
        <v>111.6432</v>
      </c>
      <c r="C94" s="9" t="n">
        <v>28.5324</v>
      </c>
      <c r="D94" s="9" t="n">
        <v>43.5747</v>
      </c>
      <c r="E94" s="9" t="n">
        <v>3.7001</v>
      </c>
      <c r="F94" s="9" t="n">
        <v>3.6593</v>
      </c>
      <c r="G94" s="9" t="n">
        <v>2.8881</v>
      </c>
      <c r="H94" s="9" t="n">
        <v>31</v>
      </c>
      <c r="I94" s="28">
        <f>B94*E94*H94</f>
        <v/>
      </c>
      <c r="J94" s="28">
        <f>C94*F94*H94</f>
        <v/>
      </c>
      <c r="K94" s="28">
        <f>D94*G94*H94</f>
        <v/>
      </c>
      <c r="L94" s="28">
        <f>SUM(I94:K94)</f>
        <v/>
      </c>
    </row>
    <row r="95">
      <c r="A95" s="10" t="n">
        <v>46174</v>
      </c>
      <c r="B95" s="11" t="n">
        <v>109.1391</v>
      </c>
      <c r="C95" s="11" t="n">
        <v>26.8783</v>
      </c>
      <c r="D95" s="11" t="n">
        <v>43.1871</v>
      </c>
      <c r="E95" s="11" t="n">
        <v>5.7024</v>
      </c>
      <c r="F95" s="11" t="n">
        <v>5.4978</v>
      </c>
      <c r="G95" s="11" t="n">
        <v>4.9273</v>
      </c>
      <c r="H95" s="11" t="n">
        <v>30</v>
      </c>
      <c r="I95" s="28">
        <f>B95*E95*H95</f>
        <v/>
      </c>
      <c r="J95" s="28">
        <f>C95*F95*H95</f>
        <v/>
      </c>
      <c r="K95" s="28">
        <f>D95*G95*H95</f>
        <v/>
      </c>
      <c r="L95" s="28">
        <f>SUM(I95:K95)</f>
        <v/>
      </c>
    </row>
    <row r="97">
      <c r="A97" s="2" t="inlineStr">
        <is>
          <t>Cuotas efectivas = cuota estatutaria − estímulo fiscal total. Fuente: DOF, vía hoja Cuotas del modelo IEPS.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Las cuatro mediciones abiertas por producto</t>
        </is>
      </c>
    </row>
    <row r="2">
      <c r="A2" s="2" t="inlineStr">
        <is>
          <t>Miles de barriles diarios · promedio de enero a julio · sólo meses con dato en las cuatro mediciones</t>
        </is>
      </c>
    </row>
    <row r="4">
      <c r="A4" s="2" t="inlineStr">
        <is>
          <t>Regular y Premium por separado usan un reparto estimado de producción e importación de particulares con la mezcla de ventas de Pemex; el agregado de gasolinas y el de diésel no lo necesitan. La columna "De ellos estimados" cuenta los meses cerrados con el supuesto de nivel constante para llegar a julio.</t>
        </is>
      </c>
    </row>
    <row r="6">
      <c r="A6" s="12" t="inlineStr">
        <is>
          <t>Regular (R)</t>
        </is>
      </c>
    </row>
    <row r="7">
      <c r="A7" s="6" t="inlineStr">
        <is>
          <t>Año</t>
        </is>
      </c>
      <c r="B7" s="7" t="inlineStr">
        <is>
          <t>Meses</t>
        </is>
      </c>
      <c r="C7" s="7" t="inlineStr">
        <is>
          <t>Rango</t>
        </is>
      </c>
      <c r="D7" s="7" t="inlineStr">
        <is>
          <t>De ellos estimados</t>
        </is>
      </c>
      <c r="E7" s="7" t="inlineStr">
        <is>
          <t>M1 Suministro total</t>
        </is>
      </c>
      <c r="F7" s="7" t="inlineStr">
        <is>
          <t>M2 Suministro registrado</t>
        </is>
      </c>
      <c r="G7" s="7" t="inlineStr">
        <is>
          <t>M3 Consumo documentado</t>
        </is>
      </c>
      <c r="H7" s="7" t="inlineStr">
        <is>
          <t>M4 Venta en la bomba</t>
        </is>
      </c>
      <c r="I7" s="7" t="inlineStr">
        <is>
          <t>Fuera del canal comercial</t>
        </is>
      </c>
      <c r="J7" s="7" t="inlineStr">
        <is>
          <t>Sin comprador final identificado</t>
        </is>
      </c>
      <c r="K7" s="7" t="inlineStr">
        <is>
          <t>Consumo propio de flotillas</t>
        </is>
      </c>
      <c r="L7" s="7" t="inlineStr">
        <is>
          <t>Brecha total de la cadena</t>
        </is>
      </c>
      <c r="M7" s="7" t="inlineStr">
        <is>
          <t>Var. M1 %</t>
        </is>
      </c>
      <c r="N7" s="7" t="inlineStr">
        <is>
          <t>Var. M2 %</t>
        </is>
      </c>
      <c r="O7" s="7" t="inlineStr">
        <is>
          <t>Var. M3 %</t>
        </is>
      </c>
      <c r="P7" s="7" t="inlineStr">
        <is>
          <t>Var. M4 %</t>
        </is>
      </c>
      <c r="Q7" s="7" t="inlineStr">
        <is>
          <t>Meses de la variación</t>
        </is>
      </c>
    </row>
    <row r="8">
      <c r="A8" s="16" t="n">
        <v>2019</v>
      </c>
      <c r="B8" s="29" t="n">
        <v>7</v>
      </c>
      <c r="C8" s="29" t="inlineStr">
        <is>
          <t>ene a jul</t>
        </is>
      </c>
      <c r="D8" s="29" t="n">
        <v>0</v>
      </c>
      <c r="E8" s="29" t="n">
        <v>664.1</v>
      </c>
      <c r="F8" s="29" t="n">
        <v>670.3</v>
      </c>
      <c r="G8" s="29" t="n">
        <v>608</v>
      </c>
      <c r="H8" s="29" t="n">
        <v>608</v>
      </c>
      <c r="I8" s="29" t="n">
        <v>-6.2</v>
      </c>
      <c r="J8" s="29" t="n">
        <v>62.2</v>
      </c>
      <c r="K8" s="29" t="n">
        <v>0</v>
      </c>
      <c r="L8" s="29" t="n">
        <v>56.1</v>
      </c>
      <c r="M8" s="29" t="n"/>
      <c r="N8" s="29" t="n"/>
      <c r="O8" s="29" t="n"/>
      <c r="P8" s="29" t="n"/>
      <c r="Q8" s="29" t="n"/>
    </row>
    <row r="9">
      <c r="A9" s="13" t="n">
        <v>2020</v>
      </c>
      <c r="B9" s="18" t="n">
        <v>7</v>
      </c>
      <c r="C9" s="18" t="inlineStr">
        <is>
          <t>ene a jul</t>
        </is>
      </c>
      <c r="D9" s="18" t="n">
        <v>0</v>
      </c>
      <c r="E9" s="18" t="n">
        <v>538.7</v>
      </c>
      <c r="F9" s="18" t="n">
        <v>539</v>
      </c>
      <c r="G9" s="18" t="n">
        <v>507.7</v>
      </c>
      <c r="H9" s="18" t="n">
        <v>507.6</v>
      </c>
      <c r="I9" s="18" t="n">
        <v>-0.3</v>
      </c>
      <c r="J9" s="18" t="n">
        <v>31.3</v>
      </c>
      <c r="K9" s="18" t="n">
        <v>0.2</v>
      </c>
      <c r="L9" s="18" t="n">
        <v>31.1</v>
      </c>
      <c r="M9" s="18" t="n">
        <v>-18.9</v>
      </c>
      <c r="N9" s="18" t="n">
        <v>-19.6</v>
      </c>
      <c r="O9" s="18" t="n">
        <v>-16.5</v>
      </c>
      <c r="P9" s="18" t="n">
        <v>-16.5</v>
      </c>
      <c r="Q9" s="18" t="n">
        <v>7</v>
      </c>
    </row>
    <row r="10">
      <c r="A10" s="16" t="n">
        <v>2021</v>
      </c>
      <c r="B10" s="29" t="n">
        <v>7</v>
      </c>
      <c r="C10" s="29" t="inlineStr">
        <is>
          <t>ene a jul</t>
        </is>
      </c>
      <c r="D10" s="29" t="n">
        <v>0</v>
      </c>
      <c r="E10" s="29" t="n">
        <v>566</v>
      </c>
      <c r="F10" s="29" t="n">
        <v>555.4</v>
      </c>
      <c r="G10" s="29" t="n">
        <v>559.7</v>
      </c>
      <c r="H10" s="29" t="n">
        <v>559.6</v>
      </c>
      <c r="I10" s="29" t="n">
        <v>10.6</v>
      </c>
      <c r="J10" s="29" t="n">
        <v>-4.3</v>
      </c>
      <c r="K10" s="29" t="n">
        <v>0.2</v>
      </c>
      <c r="L10" s="29" t="n">
        <v>6.4</v>
      </c>
      <c r="M10" s="29" t="n">
        <v>5.1</v>
      </c>
      <c r="N10" s="29" t="n">
        <v>3</v>
      </c>
      <c r="O10" s="29" t="n">
        <v>10.2</v>
      </c>
      <c r="P10" s="29" t="n">
        <v>10.2</v>
      </c>
      <c r="Q10" s="29" t="n">
        <v>7</v>
      </c>
    </row>
    <row r="11">
      <c r="A11" s="13" t="n">
        <v>2022</v>
      </c>
      <c r="B11" s="18" t="n">
        <v>7</v>
      </c>
      <c r="C11" s="18" t="inlineStr">
        <is>
          <t>ene a jul</t>
        </is>
      </c>
      <c r="D11" s="18" t="n">
        <v>0</v>
      </c>
      <c r="E11" s="18" t="n">
        <v>675.2</v>
      </c>
      <c r="F11" s="18" t="n">
        <v>652.1</v>
      </c>
      <c r="G11" s="18" t="n">
        <v>642.2</v>
      </c>
      <c r="H11" s="18" t="n">
        <v>642.1</v>
      </c>
      <c r="I11" s="18" t="n">
        <v>23.1</v>
      </c>
      <c r="J11" s="18" t="n">
        <v>9.800000000000001</v>
      </c>
      <c r="K11" s="18" t="n">
        <v>0.1</v>
      </c>
      <c r="L11" s="18" t="n">
        <v>33.1</v>
      </c>
      <c r="M11" s="18" t="n">
        <v>19.3</v>
      </c>
      <c r="N11" s="18" t="n">
        <v>17.4</v>
      </c>
      <c r="O11" s="18" t="n">
        <v>14.7</v>
      </c>
      <c r="P11" s="18" t="n">
        <v>14.8</v>
      </c>
      <c r="Q11" s="18" t="n">
        <v>7</v>
      </c>
    </row>
    <row r="12">
      <c r="A12" s="16" t="n">
        <v>2023</v>
      </c>
      <c r="B12" s="29" t="n">
        <v>7</v>
      </c>
      <c r="C12" s="29" t="inlineStr">
        <is>
          <t>ene a jul</t>
        </is>
      </c>
      <c r="D12" s="29" t="n">
        <v>0</v>
      </c>
      <c r="E12" s="29" t="n">
        <v>666.1</v>
      </c>
      <c r="F12" s="29" t="n">
        <v>634.3</v>
      </c>
      <c r="G12" s="29" t="n">
        <v>665.9</v>
      </c>
      <c r="H12" s="29" t="n">
        <v>665.8</v>
      </c>
      <c r="I12" s="29" t="n">
        <v>31.8</v>
      </c>
      <c r="J12" s="29" t="n">
        <v>-31.6</v>
      </c>
      <c r="K12" s="29" t="n">
        <v>0.1</v>
      </c>
      <c r="L12" s="29" t="n">
        <v>0.3</v>
      </c>
      <c r="M12" s="29" t="n">
        <v>-1.4</v>
      </c>
      <c r="N12" s="29" t="n">
        <v>-2.7</v>
      </c>
      <c r="O12" s="29" t="n">
        <v>3.7</v>
      </c>
      <c r="P12" s="29" t="n">
        <v>3.7</v>
      </c>
      <c r="Q12" s="29" t="n">
        <v>7</v>
      </c>
    </row>
    <row r="13">
      <c r="A13" s="13" t="n">
        <v>2024</v>
      </c>
      <c r="B13" s="18" t="n">
        <v>7</v>
      </c>
      <c r="C13" s="18" t="inlineStr">
        <is>
          <t>ene a jul</t>
        </is>
      </c>
      <c r="D13" s="18" t="n">
        <v>0</v>
      </c>
      <c r="E13" s="18" t="n">
        <v>667.5</v>
      </c>
      <c r="F13" s="18" t="n">
        <v>629</v>
      </c>
      <c r="G13" s="18" t="n">
        <v>656.7</v>
      </c>
      <c r="H13" s="18" t="n">
        <v>656.6</v>
      </c>
      <c r="I13" s="18" t="n">
        <v>38.5</v>
      </c>
      <c r="J13" s="18" t="n">
        <v>-27.7</v>
      </c>
      <c r="K13" s="18" t="n">
        <v>0.1</v>
      </c>
      <c r="L13" s="18" t="n">
        <v>10.9</v>
      </c>
      <c r="M13" s="18" t="n">
        <v>0.2</v>
      </c>
      <c r="N13" s="18" t="n">
        <v>-0.8</v>
      </c>
      <c r="O13" s="18" t="n">
        <v>-1.4</v>
      </c>
      <c r="P13" s="18" t="n">
        <v>-1.4</v>
      </c>
      <c r="Q13" s="18" t="n">
        <v>7</v>
      </c>
    </row>
    <row r="14">
      <c r="A14" s="16" t="n">
        <v>2025</v>
      </c>
      <c r="B14" s="29" t="n">
        <v>7</v>
      </c>
      <c r="C14" s="29" t="inlineStr">
        <is>
          <t>ene a jul</t>
        </is>
      </c>
      <c r="D14" s="29" t="n">
        <v>0</v>
      </c>
      <c r="E14" s="29" t="n">
        <v>645.8</v>
      </c>
      <c r="F14" s="29" t="n">
        <v>608</v>
      </c>
      <c r="G14" s="29" t="n">
        <v>621.1</v>
      </c>
      <c r="H14" s="29" t="n">
        <v>621</v>
      </c>
      <c r="I14" s="29" t="n">
        <v>37.8</v>
      </c>
      <c r="J14" s="29" t="n">
        <v>-13.2</v>
      </c>
      <c r="K14" s="29" t="n">
        <v>0.1</v>
      </c>
      <c r="L14" s="29" t="n">
        <v>24.7</v>
      </c>
      <c r="M14" s="29" t="n">
        <v>-3.3</v>
      </c>
      <c r="N14" s="29" t="n">
        <v>-3.3</v>
      </c>
      <c r="O14" s="29" t="n">
        <v>-5.4</v>
      </c>
      <c r="P14" s="29" t="n">
        <v>-5.4</v>
      </c>
      <c r="Q14" s="29" t="n">
        <v>7</v>
      </c>
    </row>
    <row r="15">
      <c r="A15" s="13" t="n">
        <v>2026</v>
      </c>
      <c r="B15" s="18" t="n">
        <v>7</v>
      </c>
      <c r="C15" s="18" t="inlineStr">
        <is>
          <t>ene a jul</t>
        </is>
      </c>
      <c r="D15" s="18" t="n">
        <v>2</v>
      </c>
      <c r="E15" s="18" t="n">
        <v>691.6</v>
      </c>
      <c r="F15" s="18" t="n">
        <v>681.7</v>
      </c>
      <c r="G15" s="18" t="n">
        <v>652</v>
      </c>
      <c r="H15" s="18" t="n">
        <v>651.9</v>
      </c>
      <c r="I15" s="18" t="n">
        <v>9.9</v>
      </c>
      <c r="J15" s="18" t="n">
        <v>29.7</v>
      </c>
      <c r="K15" s="18" t="n">
        <v>0.1</v>
      </c>
      <c r="L15" s="18" t="n">
        <v>39.8</v>
      </c>
      <c r="M15" s="18" t="n">
        <v>7.1</v>
      </c>
      <c r="N15" s="18" t="n">
        <v>12.1</v>
      </c>
      <c r="O15" s="18" t="n">
        <v>5</v>
      </c>
      <c r="P15" s="18" t="n">
        <v>5</v>
      </c>
      <c r="Q15" s="18" t="n">
        <v>7</v>
      </c>
    </row>
    <row r="17">
      <c r="A17" s="12" t="inlineStr">
        <is>
          <t>Premium (P)</t>
        </is>
      </c>
    </row>
    <row r="18">
      <c r="A18" s="6" t="inlineStr">
        <is>
          <t>Año</t>
        </is>
      </c>
      <c r="B18" s="7" t="inlineStr">
        <is>
          <t>Meses</t>
        </is>
      </c>
      <c r="C18" s="7" t="inlineStr">
        <is>
          <t>Rango</t>
        </is>
      </c>
      <c r="D18" s="7" t="inlineStr">
        <is>
          <t>De ellos estimados</t>
        </is>
      </c>
      <c r="E18" s="7" t="inlineStr">
        <is>
          <t>M1 Suministro total</t>
        </is>
      </c>
      <c r="F18" s="7" t="inlineStr">
        <is>
          <t>M2 Suministro registrado</t>
        </is>
      </c>
      <c r="G18" s="7" t="inlineStr">
        <is>
          <t>M3 Consumo documentado</t>
        </is>
      </c>
      <c r="H18" s="7" t="inlineStr">
        <is>
          <t>M4 Venta en la bomba</t>
        </is>
      </c>
      <c r="I18" s="7" t="inlineStr">
        <is>
          <t>Fuera del canal comercial</t>
        </is>
      </c>
      <c r="J18" s="7" t="inlineStr">
        <is>
          <t>Sin comprador final identificado</t>
        </is>
      </c>
      <c r="K18" s="7" t="inlineStr">
        <is>
          <t>Consumo propio de flotillas</t>
        </is>
      </c>
      <c r="L18" s="7" t="inlineStr">
        <is>
          <t>Brecha total de la cadena</t>
        </is>
      </c>
      <c r="M18" s="7" t="inlineStr">
        <is>
          <t>Var. M1 %</t>
        </is>
      </c>
      <c r="N18" s="7" t="inlineStr">
        <is>
          <t>Var. M2 %</t>
        </is>
      </c>
      <c r="O18" s="7" t="inlineStr">
        <is>
          <t>Var. M3 %</t>
        </is>
      </c>
      <c r="P18" s="7" t="inlineStr">
        <is>
          <t>Var. M4 %</t>
        </is>
      </c>
      <c r="Q18" s="7" t="inlineStr">
        <is>
          <t>Meses de la variación</t>
        </is>
      </c>
    </row>
    <row r="19">
      <c r="A19" s="13" t="n">
        <v>2019</v>
      </c>
      <c r="B19" s="18" t="n">
        <v>7</v>
      </c>
      <c r="C19" s="18" t="inlineStr">
        <is>
          <t>ene a jul</t>
        </is>
      </c>
      <c r="D19" s="18" t="n">
        <v>0</v>
      </c>
      <c r="E19" s="18" t="n">
        <v>123.1</v>
      </c>
      <c r="F19" s="18" t="n">
        <v>123.9</v>
      </c>
      <c r="G19" s="18" t="n">
        <v>115.4</v>
      </c>
      <c r="H19" s="18" t="n">
        <v>115.4</v>
      </c>
      <c r="I19" s="18" t="n">
        <v>-0.8</v>
      </c>
      <c r="J19" s="18" t="n">
        <v>8.5</v>
      </c>
      <c r="K19" s="18" t="n">
        <v>0</v>
      </c>
      <c r="L19" s="18" t="n">
        <v>7.7</v>
      </c>
      <c r="M19" s="18" t="n"/>
      <c r="N19" s="18" t="n"/>
      <c r="O19" s="18" t="n"/>
      <c r="P19" s="18" t="n"/>
      <c r="Q19" s="18" t="n"/>
    </row>
    <row r="20">
      <c r="A20" s="16" t="n">
        <v>2020</v>
      </c>
      <c r="B20" s="29" t="n">
        <v>7</v>
      </c>
      <c r="C20" s="29" t="inlineStr">
        <is>
          <t>ene a jul</t>
        </is>
      </c>
      <c r="D20" s="29" t="n">
        <v>0</v>
      </c>
      <c r="E20" s="29" t="n">
        <v>132.9</v>
      </c>
      <c r="F20" s="29" t="n">
        <v>134.5</v>
      </c>
      <c r="G20" s="29" t="n">
        <v>122.7</v>
      </c>
      <c r="H20" s="29" t="n">
        <v>122.7</v>
      </c>
      <c r="I20" s="29" t="n">
        <v>-1.5</v>
      </c>
      <c r="J20" s="29" t="n">
        <v>11.7</v>
      </c>
      <c r="K20" s="29" t="n">
        <v>0</v>
      </c>
      <c r="L20" s="29" t="n">
        <v>10.2</v>
      </c>
      <c r="M20" s="29" t="n">
        <v>8</v>
      </c>
      <c r="N20" s="29" t="n">
        <v>8.5</v>
      </c>
      <c r="O20" s="29" t="n">
        <v>6.4</v>
      </c>
      <c r="P20" s="29" t="n">
        <v>6.4</v>
      </c>
      <c r="Q20" s="29" t="n">
        <v>7</v>
      </c>
    </row>
    <row r="21">
      <c r="A21" s="13" t="n">
        <v>2021</v>
      </c>
      <c r="B21" s="18" t="n">
        <v>7</v>
      </c>
      <c r="C21" s="18" t="inlineStr">
        <is>
          <t>ene a jul</t>
        </is>
      </c>
      <c r="D21" s="18" t="n">
        <v>0</v>
      </c>
      <c r="E21" s="18" t="n">
        <v>172.1</v>
      </c>
      <c r="F21" s="18" t="n">
        <v>168.3</v>
      </c>
      <c r="G21" s="18" t="n">
        <v>159.1</v>
      </c>
      <c r="H21" s="18" t="n">
        <v>159.1</v>
      </c>
      <c r="I21" s="18" t="n">
        <v>3.7</v>
      </c>
      <c r="J21" s="18" t="n">
        <v>9.199999999999999</v>
      </c>
      <c r="K21" s="18" t="n">
        <v>0</v>
      </c>
      <c r="L21" s="18" t="n">
        <v>12.9</v>
      </c>
      <c r="M21" s="18" t="n">
        <v>29.5</v>
      </c>
      <c r="N21" s="18" t="n">
        <v>25.2</v>
      </c>
      <c r="O21" s="18" t="n">
        <v>29.7</v>
      </c>
      <c r="P21" s="18" t="n">
        <v>29.7</v>
      </c>
      <c r="Q21" s="18" t="n">
        <v>7</v>
      </c>
    </row>
    <row r="22">
      <c r="A22" s="16" t="n">
        <v>2022</v>
      </c>
      <c r="B22" s="29" t="n">
        <v>7</v>
      </c>
      <c r="C22" s="29" t="inlineStr">
        <is>
          <t>ene a jul</t>
        </is>
      </c>
      <c r="D22" s="29" t="n">
        <v>0</v>
      </c>
      <c r="E22" s="29" t="n">
        <v>148.4</v>
      </c>
      <c r="F22" s="29" t="n">
        <v>143.3</v>
      </c>
      <c r="G22" s="29" t="n">
        <v>144.5</v>
      </c>
      <c r="H22" s="29" t="n">
        <v>144.5</v>
      </c>
      <c r="I22" s="29" t="n">
        <v>5.1</v>
      </c>
      <c r="J22" s="29" t="n">
        <v>-1.2</v>
      </c>
      <c r="K22" s="29" t="n">
        <v>0</v>
      </c>
      <c r="L22" s="29" t="n">
        <v>3.9</v>
      </c>
      <c r="M22" s="29" t="n">
        <v>-13.8</v>
      </c>
      <c r="N22" s="29" t="n">
        <v>-14.9</v>
      </c>
      <c r="O22" s="29" t="n">
        <v>-9.199999999999999</v>
      </c>
      <c r="P22" s="29" t="n">
        <v>-9.199999999999999</v>
      </c>
      <c r="Q22" s="29" t="n">
        <v>7</v>
      </c>
    </row>
    <row r="23">
      <c r="A23" s="13" t="n">
        <v>2023</v>
      </c>
      <c r="B23" s="18" t="n">
        <v>7</v>
      </c>
      <c r="C23" s="18" t="inlineStr">
        <is>
          <t>ene a jul</t>
        </is>
      </c>
      <c r="D23" s="18" t="n">
        <v>0</v>
      </c>
      <c r="E23" s="18" t="n">
        <v>151</v>
      </c>
      <c r="F23" s="18" t="n">
        <v>143.7</v>
      </c>
      <c r="G23" s="18" t="n">
        <v>147.9</v>
      </c>
      <c r="H23" s="18" t="n">
        <v>147.9</v>
      </c>
      <c r="I23" s="18" t="n">
        <v>7.2</v>
      </c>
      <c r="J23" s="18" t="n">
        <v>-4.2</v>
      </c>
      <c r="K23" s="18" t="n">
        <v>0</v>
      </c>
      <c r="L23" s="18" t="n">
        <v>3.1</v>
      </c>
      <c r="M23" s="18" t="n">
        <v>1.7</v>
      </c>
      <c r="N23" s="18" t="n">
        <v>0.3</v>
      </c>
      <c r="O23" s="18" t="n">
        <v>2.3</v>
      </c>
      <c r="P23" s="18" t="n">
        <v>2.3</v>
      </c>
      <c r="Q23" s="18" t="n">
        <v>7</v>
      </c>
    </row>
    <row r="24">
      <c r="A24" s="16" t="n">
        <v>2024</v>
      </c>
      <c r="B24" s="29" t="n">
        <v>7</v>
      </c>
      <c r="C24" s="29" t="inlineStr">
        <is>
          <t>ene a jul</t>
        </is>
      </c>
      <c r="D24" s="29" t="n">
        <v>0</v>
      </c>
      <c r="E24" s="29" t="n">
        <v>172.9</v>
      </c>
      <c r="F24" s="29" t="n">
        <v>162.9</v>
      </c>
      <c r="G24" s="29" t="n">
        <v>170.9</v>
      </c>
      <c r="H24" s="29" t="n">
        <v>170.9</v>
      </c>
      <c r="I24" s="29" t="n">
        <v>10</v>
      </c>
      <c r="J24" s="29" t="n">
        <v>-8</v>
      </c>
      <c r="K24" s="29" t="n">
        <v>0</v>
      </c>
      <c r="L24" s="29" t="n">
        <v>2</v>
      </c>
      <c r="M24" s="29" t="n">
        <v>14.5</v>
      </c>
      <c r="N24" s="29" t="n">
        <v>13.4</v>
      </c>
      <c r="O24" s="29" t="n">
        <v>15.6</v>
      </c>
      <c r="P24" s="29" t="n">
        <v>15.6</v>
      </c>
      <c r="Q24" s="29" t="n">
        <v>7</v>
      </c>
    </row>
    <row r="25">
      <c r="A25" s="13" t="n">
        <v>2025</v>
      </c>
      <c r="B25" s="18" t="n">
        <v>7</v>
      </c>
      <c r="C25" s="18" t="inlineStr">
        <is>
          <t>ene a jul</t>
        </is>
      </c>
      <c r="D25" s="18" t="n">
        <v>0</v>
      </c>
      <c r="E25" s="18" t="n">
        <v>196.6</v>
      </c>
      <c r="F25" s="18" t="n">
        <v>185</v>
      </c>
      <c r="G25" s="18" t="n">
        <v>192.9</v>
      </c>
      <c r="H25" s="18" t="n">
        <v>192.9</v>
      </c>
      <c r="I25" s="18" t="n">
        <v>11.6</v>
      </c>
      <c r="J25" s="18" t="n">
        <v>-7.9</v>
      </c>
      <c r="K25" s="18" t="n">
        <v>0</v>
      </c>
      <c r="L25" s="18" t="n">
        <v>3.7</v>
      </c>
      <c r="M25" s="18" t="n">
        <v>13.7</v>
      </c>
      <c r="N25" s="18" t="n">
        <v>13.6</v>
      </c>
      <c r="O25" s="18" t="n">
        <v>12.8</v>
      </c>
      <c r="P25" s="18" t="n">
        <v>12.8</v>
      </c>
      <c r="Q25" s="18" t="n">
        <v>7</v>
      </c>
    </row>
    <row r="26">
      <c r="A26" s="16" t="n">
        <v>2026</v>
      </c>
      <c r="B26" s="29" t="n">
        <v>7</v>
      </c>
      <c r="C26" s="29" t="inlineStr">
        <is>
          <t>ene a jul</t>
        </is>
      </c>
      <c r="D26" s="29" t="n">
        <v>2</v>
      </c>
      <c r="E26" s="29" t="n">
        <v>176.6</v>
      </c>
      <c r="F26" s="29" t="n">
        <v>173.6</v>
      </c>
      <c r="G26" s="29" t="n">
        <v>178.8</v>
      </c>
      <c r="H26" s="29" t="n">
        <v>178.8</v>
      </c>
      <c r="I26" s="29" t="n">
        <v>3</v>
      </c>
      <c r="J26" s="29" t="n">
        <v>-5.3</v>
      </c>
      <c r="K26" s="29" t="n">
        <v>0</v>
      </c>
      <c r="L26" s="29" t="n">
        <v>-2.3</v>
      </c>
      <c r="M26" s="29" t="n">
        <v>-10.2</v>
      </c>
      <c r="N26" s="29" t="n">
        <v>-6.2</v>
      </c>
      <c r="O26" s="29" t="n">
        <v>-7.3</v>
      </c>
      <c r="P26" s="29" t="n">
        <v>-7.3</v>
      </c>
      <c r="Q26" s="29" t="n">
        <v>7</v>
      </c>
    </row>
    <row r="28">
      <c r="A28" s="12" t="inlineStr">
        <is>
          <t>Diésel (D)</t>
        </is>
      </c>
    </row>
    <row r="29">
      <c r="A29" s="6" t="inlineStr">
        <is>
          <t>Año</t>
        </is>
      </c>
      <c r="B29" s="7" t="inlineStr">
        <is>
          <t>Meses</t>
        </is>
      </c>
      <c r="C29" s="7" t="inlineStr">
        <is>
          <t>Rango</t>
        </is>
      </c>
      <c r="D29" s="7" t="inlineStr">
        <is>
          <t>De ellos estimados</t>
        </is>
      </c>
      <c r="E29" s="7" t="inlineStr">
        <is>
          <t>M1 Suministro total</t>
        </is>
      </c>
      <c r="F29" s="7" t="inlineStr">
        <is>
          <t>M2 Suministro registrado</t>
        </is>
      </c>
      <c r="G29" s="7" t="inlineStr">
        <is>
          <t>M3 Consumo documentado</t>
        </is>
      </c>
      <c r="H29" s="7" t="inlineStr">
        <is>
          <t>M4 Venta en la bomba</t>
        </is>
      </c>
      <c r="I29" s="7" t="inlineStr">
        <is>
          <t>Fuera del canal comercial</t>
        </is>
      </c>
      <c r="J29" s="7" t="inlineStr">
        <is>
          <t>Sin comprador final identificado</t>
        </is>
      </c>
      <c r="K29" s="7" t="inlineStr">
        <is>
          <t>Consumo propio de flotillas</t>
        </is>
      </c>
      <c r="L29" s="7" t="inlineStr">
        <is>
          <t>Brecha total de la cadena</t>
        </is>
      </c>
      <c r="M29" s="7" t="inlineStr">
        <is>
          <t>Var. M1 %</t>
        </is>
      </c>
      <c r="N29" s="7" t="inlineStr">
        <is>
          <t>Var. M2 %</t>
        </is>
      </c>
      <c r="O29" s="7" t="inlineStr">
        <is>
          <t>Var. M3 %</t>
        </is>
      </c>
      <c r="P29" s="7" t="inlineStr">
        <is>
          <t>Var. M4 %</t>
        </is>
      </c>
      <c r="Q29" s="7" t="inlineStr">
        <is>
          <t>Meses de la variación</t>
        </is>
      </c>
    </row>
    <row r="30">
      <c r="A30" s="16" t="n">
        <v>2019</v>
      </c>
      <c r="B30" s="29" t="n">
        <v>7</v>
      </c>
      <c r="C30" s="29" t="inlineStr">
        <is>
          <t>ene a jul</t>
        </is>
      </c>
      <c r="D30" s="29" t="n">
        <v>0</v>
      </c>
      <c r="E30" s="29" t="n">
        <v>404.2</v>
      </c>
      <c r="F30" s="29" t="n">
        <v>387.4</v>
      </c>
      <c r="G30" s="29" t="n">
        <v>238.9</v>
      </c>
      <c r="H30" s="29" t="n">
        <v>232.9</v>
      </c>
      <c r="I30" s="29" t="n">
        <v>16.8</v>
      </c>
      <c r="J30" s="29" t="n">
        <v>148.5</v>
      </c>
      <c r="K30" s="29" t="n">
        <v>6</v>
      </c>
      <c r="L30" s="29" t="n">
        <v>171.2</v>
      </c>
      <c r="M30" s="29" t="n"/>
      <c r="N30" s="29" t="n"/>
      <c r="O30" s="29" t="n"/>
      <c r="P30" s="29" t="n"/>
      <c r="Q30" s="29" t="n"/>
    </row>
    <row r="31">
      <c r="A31" s="13" t="n">
        <v>2020</v>
      </c>
      <c r="B31" s="18" t="n">
        <v>7</v>
      </c>
      <c r="C31" s="18" t="inlineStr">
        <is>
          <t>ene a jul</t>
        </is>
      </c>
      <c r="D31" s="18" t="n">
        <v>0</v>
      </c>
      <c r="E31" s="18" t="n">
        <v>318.8</v>
      </c>
      <c r="F31" s="18" t="n">
        <v>309.2</v>
      </c>
      <c r="G31" s="18" t="n">
        <v>215</v>
      </c>
      <c r="H31" s="18" t="n">
        <v>203.8</v>
      </c>
      <c r="I31" s="18" t="n">
        <v>9.699999999999999</v>
      </c>
      <c r="J31" s="18" t="n">
        <v>94.2</v>
      </c>
      <c r="K31" s="18" t="n">
        <v>11.1</v>
      </c>
      <c r="L31" s="18" t="n">
        <v>115</v>
      </c>
      <c r="M31" s="18" t="n">
        <v>-21.1</v>
      </c>
      <c r="N31" s="18" t="n">
        <v>-20.2</v>
      </c>
      <c r="O31" s="18" t="n">
        <v>-10</v>
      </c>
      <c r="P31" s="18" t="n">
        <v>-12.5</v>
      </c>
      <c r="Q31" s="18" t="n">
        <v>7</v>
      </c>
    </row>
    <row r="32">
      <c r="A32" s="16" t="n">
        <v>2021</v>
      </c>
      <c r="B32" s="29" t="n">
        <v>7</v>
      </c>
      <c r="C32" s="29" t="inlineStr">
        <is>
          <t>ene a jul</t>
        </is>
      </c>
      <c r="D32" s="29" t="n">
        <v>0</v>
      </c>
      <c r="E32" s="29" t="n">
        <v>327.3</v>
      </c>
      <c r="F32" s="29" t="n">
        <v>308</v>
      </c>
      <c r="G32" s="29" t="n">
        <v>230.6</v>
      </c>
      <c r="H32" s="29" t="n">
        <v>215.4</v>
      </c>
      <c r="I32" s="29" t="n">
        <v>19.3</v>
      </c>
      <c r="J32" s="29" t="n">
        <v>77.40000000000001</v>
      </c>
      <c r="K32" s="29" t="n">
        <v>15.2</v>
      </c>
      <c r="L32" s="29" t="n">
        <v>111.9</v>
      </c>
      <c r="M32" s="29" t="n">
        <v>2.7</v>
      </c>
      <c r="N32" s="29" t="n">
        <v>-0.4</v>
      </c>
      <c r="O32" s="29" t="n">
        <v>7.3</v>
      </c>
      <c r="P32" s="29" t="n">
        <v>5.7</v>
      </c>
      <c r="Q32" s="29" t="n">
        <v>7</v>
      </c>
    </row>
    <row r="33">
      <c r="A33" s="13" t="n">
        <v>2022</v>
      </c>
      <c r="B33" s="18" t="n">
        <v>7</v>
      </c>
      <c r="C33" s="18" t="inlineStr">
        <is>
          <t>ene a jul</t>
        </is>
      </c>
      <c r="D33" s="18" t="n">
        <v>0</v>
      </c>
      <c r="E33" s="18" t="n">
        <v>396.9</v>
      </c>
      <c r="F33" s="18" t="n">
        <v>379</v>
      </c>
      <c r="G33" s="18" t="n">
        <v>258.1</v>
      </c>
      <c r="H33" s="18" t="n">
        <v>242.8</v>
      </c>
      <c r="I33" s="18" t="n">
        <v>17.9</v>
      </c>
      <c r="J33" s="18" t="n">
        <v>120.9</v>
      </c>
      <c r="K33" s="18" t="n">
        <v>15.3</v>
      </c>
      <c r="L33" s="18" t="n">
        <v>154.1</v>
      </c>
      <c r="M33" s="18" t="n">
        <v>21.3</v>
      </c>
      <c r="N33" s="18" t="n">
        <v>23.1</v>
      </c>
      <c r="O33" s="18" t="n">
        <v>11.9</v>
      </c>
      <c r="P33" s="18" t="n">
        <v>12.7</v>
      </c>
      <c r="Q33" s="18" t="n">
        <v>7</v>
      </c>
    </row>
    <row r="34">
      <c r="A34" s="16" t="n">
        <v>2023</v>
      </c>
      <c r="B34" s="29" t="n">
        <v>7</v>
      </c>
      <c r="C34" s="29" t="inlineStr">
        <is>
          <t>ene a jul</t>
        </is>
      </c>
      <c r="D34" s="29" t="n">
        <v>0</v>
      </c>
      <c r="E34" s="29" t="n">
        <v>395.7</v>
      </c>
      <c r="F34" s="29" t="n">
        <v>378.1</v>
      </c>
      <c r="G34" s="29" t="n">
        <v>263.9</v>
      </c>
      <c r="H34" s="29" t="n">
        <v>249.2</v>
      </c>
      <c r="I34" s="29" t="n">
        <v>17.6</v>
      </c>
      <c r="J34" s="29" t="n">
        <v>114.2</v>
      </c>
      <c r="K34" s="29" t="n">
        <v>14.7</v>
      </c>
      <c r="L34" s="29" t="n">
        <v>146.5</v>
      </c>
      <c r="M34" s="29" t="n">
        <v>-0.3</v>
      </c>
      <c r="N34" s="29" t="n">
        <v>-0.2</v>
      </c>
      <c r="O34" s="29" t="n">
        <v>2.2</v>
      </c>
      <c r="P34" s="29" t="n">
        <v>2.6</v>
      </c>
      <c r="Q34" s="29" t="n">
        <v>7</v>
      </c>
    </row>
    <row r="35">
      <c r="A35" s="13" t="n">
        <v>2024</v>
      </c>
      <c r="B35" s="18" t="n">
        <v>7</v>
      </c>
      <c r="C35" s="18" t="inlineStr">
        <is>
          <t>ene a jul</t>
        </is>
      </c>
      <c r="D35" s="18" t="n">
        <v>0</v>
      </c>
      <c r="E35" s="18" t="n">
        <v>404.1</v>
      </c>
      <c r="F35" s="18" t="n">
        <v>376.4</v>
      </c>
      <c r="G35" s="18" t="n">
        <v>268.8</v>
      </c>
      <c r="H35" s="18" t="n">
        <v>250</v>
      </c>
      <c r="I35" s="18" t="n">
        <v>27.8</v>
      </c>
      <c r="J35" s="18" t="n">
        <v>107.6</v>
      </c>
      <c r="K35" s="18" t="n">
        <v>18.7</v>
      </c>
      <c r="L35" s="18" t="n">
        <v>154.1</v>
      </c>
      <c r="M35" s="18" t="n">
        <v>2.1</v>
      </c>
      <c r="N35" s="18" t="n">
        <v>-0.5</v>
      </c>
      <c r="O35" s="18" t="n">
        <v>1.8</v>
      </c>
      <c r="P35" s="18" t="n">
        <v>0.3</v>
      </c>
      <c r="Q35" s="18" t="n">
        <v>7</v>
      </c>
    </row>
    <row r="36">
      <c r="A36" s="16" t="n">
        <v>2025</v>
      </c>
      <c r="B36" s="29" t="n">
        <v>7</v>
      </c>
      <c r="C36" s="29" t="inlineStr">
        <is>
          <t>ene a jul</t>
        </is>
      </c>
      <c r="D36" s="29" t="n">
        <v>0</v>
      </c>
      <c r="E36" s="29" t="n">
        <v>363.3</v>
      </c>
      <c r="F36" s="29" t="n">
        <v>356.2</v>
      </c>
      <c r="G36" s="29" t="n">
        <v>264.3</v>
      </c>
      <c r="H36" s="29" t="n">
        <v>243.5</v>
      </c>
      <c r="I36" s="29" t="n">
        <v>7.1</v>
      </c>
      <c r="J36" s="29" t="n">
        <v>92</v>
      </c>
      <c r="K36" s="29" t="n">
        <v>20.7</v>
      </c>
      <c r="L36" s="29" t="n">
        <v>119.8</v>
      </c>
      <c r="M36" s="29" t="n">
        <v>-10.1</v>
      </c>
      <c r="N36" s="29" t="n">
        <v>-5.4</v>
      </c>
      <c r="O36" s="29" t="n">
        <v>-1.7</v>
      </c>
      <c r="P36" s="29" t="n">
        <v>-2.6</v>
      </c>
      <c r="Q36" s="29" t="n">
        <v>7</v>
      </c>
    </row>
    <row r="37">
      <c r="A37" s="13" t="n">
        <v>2026</v>
      </c>
      <c r="B37" s="18" t="n">
        <v>7</v>
      </c>
      <c r="C37" s="18" t="inlineStr">
        <is>
          <t>ene a jul</t>
        </is>
      </c>
      <c r="D37" s="18" t="n">
        <v>2</v>
      </c>
      <c r="E37" s="18" t="n">
        <v>428.2</v>
      </c>
      <c r="F37" s="18" t="n">
        <v>410.4</v>
      </c>
      <c r="G37" s="18" t="n">
        <v>283.5</v>
      </c>
      <c r="H37" s="18" t="n">
        <v>259.2</v>
      </c>
      <c r="I37" s="18" t="n">
        <v>17.8</v>
      </c>
      <c r="J37" s="18" t="n">
        <v>127</v>
      </c>
      <c r="K37" s="18" t="n">
        <v>24.2</v>
      </c>
      <c r="L37" s="18" t="n">
        <v>169</v>
      </c>
      <c r="M37" s="18" t="n">
        <v>17.9</v>
      </c>
      <c r="N37" s="18" t="n">
        <v>15.2</v>
      </c>
      <c r="O37" s="18" t="n">
        <v>7.3</v>
      </c>
      <c r="P37" s="18" t="n">
        <v>6.4</v>
      </c>
      <c r="Q37" s="18" t="n">
        <v>7</v>
      </c>
    </row>
    <row r="39">
      <c r="A39" s="12" t="inlineStr">
        <is>
          <t>Gasolinas (R + P)</t>
        </is>
      </c>
    </row>
    <row r="40">
      <c r="A40" s="6" t="inlineStr">
        <is>
          <t>Año</t>
        </is>
      </c>
      <c r="B40" s="7" t="inlineStr">
        <is>
          <t>Meses</t>
        </is>
      </c>
      <c r="C40" s="7" t="inlineStr">
        <is>
          <t>Rango</t>
        </is>
      </c>
      <c r="D40" s="7" t="inlineStr">
        <is>
          <t>De ellos estimados</t>
        </is>
      </c>
      <c r="E40" s="7" t="inlineStr">
        <is>
          <t>M1 Suministro total</t>
        </is>
      </c>
      <c r="F40" s="7" t="inlineStr">
        <is>
          <t>M2 Suministro registrado</t>
        </is>
      </c>
      <c r="G40" s="7" t="inlineStr">
        <is>
          <t>M3 Consumo documentado</t>
        </is>
      </c>
      <c r="H40" s="7" t="inlineStr">
        <is>
          <t>M4 Venta en la bomba</t>
        </is>
      </c>
      <c r="I40" s="7" t="inlineStr">
        <is>
          <t>Fuera del canal comercial</t>
        </is>
      </c>
      <c r="J40" s="7" t="inlineStr">
        <is>
          <t>Sin comprador final identificado</t>
        </is>
      </c>
      <c r="K40" s="7" t="inlineStr">
        <is>
          <t>Consumo propio de flotillas</t>
        </is>
      </c>
      <c r="L40" s="7" t="inlineStr">
        <is>
          <t>Brecha total de la cadena</t>
        </is>
      </c>
      <c r="M40" s="7" t="inlineStr">
        <is>
          <t>Var. M1 %</t>
        </is>
      </c>
      <c r="N40" s="7" t="inlineStr">
        <is>
          <t>Var. M2 %</t>
        </is>
      </c>
      <c r="O40" s="7" t="inlineStr">
        <is>
          <t>Var. M3 %</t>
        </is>
      </c>
      <c r="P40" s="7" t="inlineStr">
        <is>
          <t>Var. M4 %</t>
        </is>
      </c>
      <c r="Q40" s="7" t="inlineStr">
        <is>
          <t>Meses de la variación</t>
        </is>
      </c>
    </row>
    <row r="41">
      <c r="A41" s="13" t="n">
        <v>2019</v>
      </c>
      <c r="B41" s="18" t="n">
        <v>7</v>
      </c>
      <c r="C41" s="18" t="inlineStr">
        <is>
          <t>ene a jul</t>
        </is>
      </c>
      <c r="D41" s="18" t="n">
        <v>0</v>
      </c>
      <c r="E41" s="18" t="n">
        <v>787.2</v>
      </c>
      <c r="F41" s="18" t="n">
        <v>794.7</v>
      </c>
      <c r="G41" s="18" t="n">
        <v>723.5</v>
      </c>
      <c r="H41" s="18" t="n">
        <v>723.4</v>
      </c>
      <c r="I41" s="18" t="n">
        <v>-7.5</v>
      </c>
      <c r="J41" s="18" t="n">
        <v>71.2</v>
      </c>
      <c r="K41" s="18" t="n">
        <v>0</v>
      </c>
      <c r="L41" s="18" t="n">
        <v>63.8</v>
      </c>
      <c r="M41" s="18" t="n"/>
      <c r="N41" s="18" t="n"/>
      <c r="O41" s="18" t="n"/>
      <c r="P41" s="18" t="n"/>
      <c r="Q41" s="18" t="n"/>
    </row>
    <row r="42">
      <c r="A42" s="16" t="n">
        <v>2020</v>
      </c>
      <c r="B42" s="29" t="n">
        <v>7</v>
      </c>
      <c r="C42" s="29" t="inlineStr">
        <is>
          <t>ene a jul</t>
        </is>
      </c>
      <c r="D42" s="29" t="n">
        <v>0</v>
      </c>
      <c r="E42" s="29" t="n">
        <v>671.6</v>
      </c>
      <c r="F42" s="29" t="n">
        <v>673.9</v>
      </c>
      <c r="G42" s="29" t="n">
        <v>630.5</v>
      </c>
      <c r="H42" s="29" t="n">
        <v>630.3</v>
      </c>
      <c r="I42" s="29" t="n">
        <v>-2.3</v>
      </c>
      <c r="J42" s="29" t="n">
        <v>43.4</v>
      </c>
      <c r="K42" s="29" t="n">
        <v>0.2</v>
      </c>
      <c r="L42" s="29" t="n">
        <v>41.3</v>
      </c>
      <c r="M42" s="29" t="n">
        <v>-14.7</v>
      </c>
      <c r="N42" s="29" t="n">
        <v>-15.2</v>
      </c>
      <c r="O42" s="29" t="n">
        <v>-12.9</v>
      </c>
      <c r="P42" s="29" t="n">
        <v>-12.9</v>
      </c>
      <c r="Q42" s="29" t="n">
        <v>7</v>
      </c>
    </row>
    <row r="43">
      <c r="A43" s="13" t="n">
        <v>2021</v>
      </c>
      <c r="B43" s="18" t="n">
        <v>7</v>
      </c>
      <c r="C43" s="18" t="inlineStr">
        <is>
          <t>ene a jul</t>
        </is>
      </c>
      <c r="D43" s="18" t="n">
        <v>0</v>
      </c>
      <c r="E43" s="18" t="n">
        <v>738.1</v>
      </c>
      <c r="F43" s="18" t="n">
        <v>724.2</v>
      </c>
      <c r="G43" s="18" t="n">
        <v>718.8</v>
      </c>
      <c r="H43" s="18" t="n">
        <v>718.7</v>
      </c>
      <c r="I43" s="18" t="n">
        <v>13.8</v>
      </c>
      <c r="J43" s="18" t="n">
        <v>5.4</v>
      </c>
      <c r="K43" s="18" t="n">
        <v>0.2</v>
      </c>
      <c r="L43" s="18" t="n">
        <v>19.4</v>
      </c>
      <c r="M43" s="18" t="n">
        <v>9.9</v>
      </c>
      <c r="N43" s="18" t="n">
        <v>7.5</v>
      </c>
      <c r="O43" s="18" t="n">
        <v>14</v>
      </c>
      <c r="P43" s="18" t="n">
        <v>14</v>
      </c>
      <c r="Q43" s="18" t="n">
        <v>7</v>
      </c>
    </row>
    <row r="44">
      <c r="A44" s="16" t="n">
        <v>2022</v>
      </c>
      <c r="B44" s="29" t="n">
        <v>7</v>
      </c>
      <c r="C44" s="29" t="inlineStr">
        <is>
          <t>ene a jul</t>
        </is>
      </c>
      <c r="D44" s="29" t="n">
        <v>0</v>
      </c>
      <c r="E44" s="29" t="n">
        <v>823.6</v>
      </c>
      <c r="F44" s="29" t="n">
        <v>795.8</v>
      </c>
      <c r="G44" s="29" t="n">
        <v>786.8</v>
      </c>
      <c r="H44" s="29" t="n">
        <v>786.6</v>
      </c>
      <c r="I44" s="29" t="n">
        <v>27.8</v>
      </c>
      <c r="J44" s="29" t="n">
        <v>9</v>
      </c>
      <c r="K44" s="29" t="n">
        <v>0.1</v>
      </c>
      <c r="L44" s="29" t="n">
        <v>36.9</v>
      </c>
      <c r="M44" s="29" t="n">
        <v>11.6</v>
      </c>
      <c r="N44" s="29" t="n">
        <v>9.9</v>
      </c>
      <c r="O44" s="29" t="n">
        <v>9.4</v>
      </c>
      <c r="P44" s="29" t="n">
        <v>9.5</v>
      </c>
      <c r="Q44" s="29" t="n">
        <v>7</v>
      </c>
    </row>
    <row r="45">
      <c r="A45" s="13" t="n">
        <v>2023</v>
      </c>
      <c r="B45" s="18" t="n">
        <v>7</v>
      </c>
      <c r="C45" s="18" t="inlineStr">
        <is>
          <t>ene a jul</t>
        </is>
      </c>
      <c r="D45" s="18" t="n">
        <v>0</v>
      </c>
      <c r="E45" s="18" t="n">
        <v>817</v>
      </c>
      <c r="F45" s="18" t="n">
        <v>778.4</v>
      </c>
      <c r="G45" s="18" t="n">
        <v>813.8</v>
      </c>
      <c r="H45" s="18" t="n">
        <v>813.7</v>
      </c>
      <c r="I45" s="18" t="n">
        <v>38.6</v>
      </c>
      <c r="J45" s="18" t="n">
        <v>-35.3</v>
      </c>
      <c r="K45" s="18" t="n">
        <v>0.1</v>
      </c>
      <c r="L45" s="18" t="n">
        <v>3.3</v>
      </c>
      <c r="M45" s="18" t="n">
        <v>-0.8</v>
      </c>
      <c r="N45" s="18" t="n">
        <v>-2.2</v>
      </c>
      <c r="O45" s="18" t="n">
        <v>3.4</v>
      </c>
      <c r="P45" s="18" t="n">
        <v>3.4</v>
      </c>
      <c r="Q45" s="18" t="n">
        <v>7</v>
      </c>
    </row>
    <row r="46">
      <c r="A46" s="16" t="n">
        <v>2024</v>
      </c>
      <c r="B46" s="29" t="n">
        <v>7</v>
      </c>
      <c r="C46" s="29" t="inlineStr">
        <is>
          <t>ene a jul</t>
        </is>
      </c>
      <c r="D46" s="29" t="n">
        <v>0</v>
      </c>
      <c r="E46" s="29" t="n">
        <v>840.4</v>
      </c>
      <c r="F46" s="29" t="n">
        <v>792.4</v>
      </c>
      <c r="G46" s="29" t="n">
        <v>827.7</v>
      </c>
      <c r="H46" s="29" t="n">
        <v>827.5</v>
      </c>
      <c r="I46" s="29" t="n">
        <v>48</v>
      </c>
      <c r="J46" s="29" t="n">
        <v>-35.3</v>
      </c>
      <c r="K46" s="29" t="n">
        <v>0.1</v>
      </c>
      <c r="L46" s="29" t="n">
        <v>12.9</v>
      </c>
      <c r="M46" s="29" t="n">
        <v>2.9</v>
      </c>
      <c r="N46" s="29" t="n">
        <v>1.8</v>
      </c>
      <c r="O46" s="29" t="n">
        <v>1.7</v>
      </c>
      <c r="P46" s="29" t="n">
        <v>1.7</v>
      </c>
      <c r="Q46" s="29" t="n">
        <v>7</v>
      </c>
    </row>
    <row r="47">
      <c r="A47" s="13" t="n">
        <v>2025</v>
      </c>
      <c r="B47" s="18" t="n">
        <v>7</v>
      </c>
      <c r="C47" s="18" t="inlineStr">
        <is>
          <t>ene a jul</t>
        </is>
      </c>
      <c r="D47" s="18" t="n">
        <v>0</v>
      </c>
      <c r="E47" s="18" t="n">
        <v>842.4</v>
      </c>
      <c r="F47" s="18" t="n">
        <v>793.4</v>
      </c>
      <c r="G47" s="18" t="n">
        <v>814</v>
      </c>
      <c r="H47" s="18" t="n">
        <v>813.9</v>
      </c>
      <c r="I47" s="18" t="n">
        <v>48.9</v>
      </c>
      <c r="J47" s="18" t="n">
        <v>-20.6</v>
      </c>
      <c r="K47" s="18" t="n">
        <v>0.1</v>
      </c>
      <c r="L47" s="18" t="n">
        <v>28.5</v>
      </c>
      <c r="M47" s="18" t="n">
        <v>0.2</v>
      </c>
      <c r="N47" s="18" t="n">
        <v>0.1</v>
      </c>
      <c r="O47" s="18" t="n">
        <v>-1.7</v>
      </c>
      <c r="P47" s="18" t="n">
        <v>-1.6</v>
      </c>
      <c r="Q47" s="18" t="n">
        <v>7</v>
      </c>
    </row>
    <row r="48">
      <c r="A48" s="16" t="n">
        <v>2026</v>
      </c>
      <c r="B48" s="29" t="n">
        <v>7</v>
      </c>
      <c r="C48" s="29" t="inlineStr">
        <is>
          <t>ene a jul</t>
        </is>
      </c>
      <c r="D48" s="29" t="n">
        <v>2</v>
      </c>
      <c r="E48" s="29" t="n">
        <v>868.2</v>
      </c>
      <c r="F48" s="29" t="n">
        <v>855.7</v>
      </c>
      <c r="G48" s="29" t="n">
        <v>830.8</v>
      </c>
      <c r="H48" s="29" t="n">
        <v>830.7</v>
      </c>
      <c r="I48" s="29" t="n">
        <v>12.6</v>
      </c>
      <c r="J48" s="29" t="n">
        <v>24.8</v>
      </c>
      <c r="K48" s="29" t="n">
        <v>0.1</v>
      </c>
      <c r="L48" s="29" t="n">
        <v>37.5</v>
      </c>
      <c r="M48" s="29" t="n">
        <v>3.1</v>
      </c>
      <c r="N48" s="29" t="n">
        <v>7.8</v>
      </c>
      <c r="O48" s="29" t="n">
        <v>2.1</v>
      </c>
      <c r="P48" s="29" t="n">
        <v>2.1</v>
      </c>
      <c r="Q48" s="29" t="n">
        <v>7</v>
      </c>
    </row>
    <row r="50">
      <c r="A50" s="12" t="inlineStr">
        <is>
          <t>Todos (R + P + D)</t>
        </is>
      </c>
    </row>
    <row r="51">
      <c r="A51" s="6" t="inlineStr">
        <is>
          <t>Año</t>
        </is>
      </c>
      <c r="B51" s="7" t="inlineStr">
        <is>
          <t>Meses</t>
        </is>
      </c>
      <c r="C51" s="7" t="inlineStr">
        <is>
          <t>Rango</t>
        </is>
      </c>
      <c r="D51" s="7" t="inlineStr">
        <is>
          <t>De ellos estimados</t>
        </is>
      </c>
      <c r="E51" s="7" t="inlineStr">
        <is>
          <t>M1 Suministro total</t>
        </is>
      </c>
      <c r="F51" s="7" t="inlineStr">
        <is>
          <t>M2 Suministro registrado</t>
        </is>
      </c>
      <c r="G51" s="7" t="inlineStr">
        <is>
          <t>M3 Consumo documentado</t>
        </is>
      </c>
      <c r="H51" s="7" t="inlineStr">
        <is>
          <t>M4 Venta en la bomba</t>
        </is>
      </c>
      <c r="I51" s="7" t="inlineStr">
        <is>
          <t>Fuera del canal comercial</t>
        </is>
      </c>
      <c r="J51" s="7" t="inlineStr">
        <is>
          <t>Sin comprador final identificado</t>
        </is>
      </c>
      <c r="K51" s="7" t="inlineStr">
        <is>
          <t>Consumo propio de flotillas</t>
        </is>
      </c>
      <c r="L51" s="7" t="inlineStr">
        <is>
          <t>Brecha total de la cadena</t>
        </is>
      </c>
      <c r="M51" s="7" t="inlineStr">
        <is>
          <t>Var. M1 %</t>
        </is>
      </c>
      <c r="N51" s="7" t="inlineStr">
        <is>
          <t>Var. M2 %</t>
        </is>
      </c>
      <c r="O51" s="7" t="inlineStr">
        <is>
          <t>Var. M3 %</t>
        </is>
      </c>
      <c r="P51" s="7" t="inlineStr">
        <is>
          <t>Var. M4 %</t>
        </is>
      </c>
      <c r="Q51" s="7" t="inlineStr">
        <is>
          <t>Meses de la variación</t>
        </is>
      </c>
    </row>
    <row r="52">
      <c r="A52" s="16" t="n">
        <v>2019</v>
      </c>
      <c r="B52" s="29" t="n">
        <v>7</v>
      </c>
      <c r="C52" s="29" t="inlineStr">
        <is>
          <t>ene a jul</t>
        </is>
      </c>
      <c r="D52" s="29" t="n">
        <v>0</v>
      </c>
      <c r="E52" s="29" t="n">
        <v>1191.3</v>
      </c>
      <c r="F52" s="29" t="n">
        <v>1182.1</v>
      </c>
      <c r="G52" s="29" t="n">
        <v>962.4</v>
      </c>
      <c r="H52" s="29" t="n">
        <v>956.3</v>
      </c>
      <c r="I52" s="29" t="n">
        <v>9.300000000000001</v>
      </c>
      <c r="J52" s="29" t="n">
        <v>219.7</v>
      </c>
      <c r="K52" s="29" t="n">
        <v>6</v>
      </c>
      <c r="L52" s="29" t="n">
        <v>235</v>
      </c>
      <c r="M52" s="29" t="n"/>
      <c r="N52" s="29" t="n"/>
      <c r="O52" s="29" t="n"/>
      <c r="P52" s="29" t="n"/>
      <c r="Q52" s="29" t="n"/>
    </row>
    <row r="53">
      <c r="A53" s="13" t="n">
        <v>2020</v>
      </c>
      <c r="B53" s="18" t="n">
        <v>7</v>
      </c>
      <c r="C53" s="18" t="inlineStr">
        <is>
          <t>ene a jul</t>
        </is>
      </c>
      <c r="D53" s="18" t="n">
        <v>0</v>
      </c>
      <c r="E53" s="18" t="n">
        <v>990.4</v>
      </c>
      <c r="F53" s="18" t="n">
        <v>983</v>
      </c>
      <c r="G53" s="18" t="n">
        <v>845.4</v>
      </c>
      <c r="H53" s="18" t="n">
        <v>834.1</v>
      </c>
      <c r="I53" s="18" t="n">
        <v>7.4</v>
      </c>
      <c r="J53" s="18" t="n">
        <v>137.6</v>
      </c>
      <c r="K53" s="18" t="n">
        <v>11.3</v>
      </c>
      <c r="L53" s="18" t="n">
        <v>156.3</v>
      </c>
      <c r="M53" s="18" t="n">
        <v>-16.9</v>
      </c>
      <c r="N53" s="18" t="n">
        <v>-16.8</v>
      </c>
      <c r="O53" s="18" t="n">
        <v>-12.2</v>
      </c>
      <c r="P53" s="18" t="n">
        <v>-12.8</v>
      </c>
      <c r="Q53" s="18" t="n">
        <v>7</v>
      </c>
    </row>
    <row r="54">
      <c r="A54" s="16" t="n">
        <v>2021</v>
      </c>
      <c r="B54" s="29" t="n">
        <v>7</v>
      </c>
      <c r="C54" s="29" t="inlineStr">
        <is>
          <t>ene a jul</t>
        </is>
      </c>
      <c r="D54" s="29" t="n">
        <v>0</v>
      </c>
      <c r="E54" s="29" t="n">
        <v>1065.4</v>
      </c>
      <c r="F54" s="29" t="n">
        <v>1032.2</v>
      </c>
      <c r="G54" s="29" t="n">
        <v>949.5</v>
      </c>
      <c r="H54" s="29" t="n">
        <v>934.1</v>
      </c>
      <c r="I54" s="29" t="n">
        <v>33.2</v>
      </c>
      <c r="J54" s="29" t="n">
        <v>82.8</v>
      </c>
      <c r="K54" s="29" t="n">
        <v>15.4</v>
      </c>
      <c r="L54" s="29" t="n">
        <v>131.3</v>
      </c>
      <c r="M54" s="29" t="n">
        <v>7.6</v>
      </c>
      <c r="N54" s="29" t="n">
        <v>5</v>
      </c>
      <c r="O54" s="29" t="n">
        <v>12.3</v>
      </c>
      <c r="P54" s="29" t="n">
        <v>12</v>
      </c>
      <c r="Q54" s="29" t="n">
        <v>7</v>
      </c>
    </row>
    <row r="55">
      <c r="A55" s="13" t="n">
        <v>2022</v>
      </c>
      <c r="B55" s="18" t="n">
        <v>7</v>
      </c>
      <c r="C55" s="18" t="inlineStr">
        <is>
          <t>ene a jul</t>
        </is>
      </c>
      <c r="D55" s="18" t="n">
        <v>0</v>
      </c>
      <c r="E55" s="18" t="n">
        <v>1220.5</v>
      </c>
      <c r="F55" s="18" t="n">
        <v>1174.8</v>
      </c>
      <c r="G55" s="18" t="n">
        <v>1044.9</v>
      </c>
      <c r="H55" s="18" t="n">
        <v>1029.4</v>
      </c>
      <c r="I55" s="18" t="n">
        <v>45.7</v>
      </c>
      <c r="J55" s="18" t="n">
        <v>129.9</v>
      </c>
      <c r="K55" s="18" t="n">
        <v>15.4</v>
      </c>
      <c r="L55" s="18" t="n">
        <v>191</v>
      </c>
      <c r="M55" s="18" t="n">
        <v>14.6</v>
      </c>
      <c r="N55" s="18" t="n">
        <v>13.8</v>
      </c>
      <c r="O55" s="18" t="n">
        <v>10.1</v>
      </c>
      <c r="P55" s="18" t="n">
        <v>10.2</v>
      </c>
      <c r="Q55" s="18" t="n">
        <v>7</v>
      </c>
    </row>
    <row r="56">
      <c r="A56" s="16" t="n">
        <v>2023</v>
      </c>
      <c r="B56" s="29" t="n">
        <v>7</v>
      </c>
      <c r="C56" s="29" t="inlineStr">
        <is>
          <t>ene a jul</t>
        </is>
      </c>
      <c r="D56" s="29" t="n">
        <v>0</v>
      </c>
      <c r="E56" s="29" t="n">
        <v>1212.7</v>
      </c>
      <c r="F56" s="29" t="n">
        <v>1156.6</v>
      </c>
      <c r="G56" s="29" t="n">
        <v>1077.7</v>
      </c>
      <c r="H56" s="29" t="n">
        <v>1062.9</v>
      </c>
      <c r="I56" s="29" t="n">
        <v>56.1</v>
      </c>
      <c r="J56" s="29" t="n">
        <v>78.90000000000001</v>
      </c>
      <c r="K56" s="29" t="n">
        <v>14.7</v>
      </c>
      <c r="L56" s="29" t="n">
        <v>149.8</v>
      </c>
      <c r="M56" s="29" t="n">
        <v>-0.6</v>
      </c>
      <c r="N56" s="29" t="n">
        <v>-1.6</v>
      </c>
      <c r="O56" s="29" t="n">
        <v>3.1</v>
      </c>
      <c r="P56" s="29" t="n">
        <v>3.2</v>
      </c>
      <c r="Q56" s="29" t="n">
        <v>7</v>
      </c>
    </row>
    <row r="57">
      <c r="A57" s="13" t="n">
        <v>2024</v>
      </c>
      <c r="B57" s="18" t="n">
        <v>7</v>
      </c>
      <c r="C57" s="18" t="inlineStr">
        <is>
          <t>ene a jul</t>
        </is>
      </c>
      <c r="D57" s="18" t="n">
        <v>0</v>
      </c>
      <c r="E57" s="18" t="n">
        <v>1244.5</v>
      </c>
      <c r="F57" s="18" t="n">
        <v>1168.8</v>
      </c>
      <c r="G57" s="18" t="n">
        <v>1096.4</v>
      </c>
      <c r="H57" s="18" t="n">
        <v>1077.6</v>
      </c>
      <c r="I57" s="18" t="n">
        <v>75.8</v>
      </c>
      <c r="J57" s="18" t="n">
        <v>72.3</v>
      </c>
      <c r="K57" s="18" t="n">
        <v>18.9</v>
      </c>
      <c r="L57" s="18" t="n">
        <v>167</v>
      </c>
      <c r="M57" s="18" t="n">
        <v>2.6</v>
      </c>
      <c r="N57" s="18" t="n">
        <v>1.1</v>
      </c>
      <c r="O57" s="18" t="n">
        <v>1.7</v>
      </c>
      <c r="P57" s="18" t="n">
        <v>1.4</v>
      </c>
      <c r="Q57" s="18" t="n">
        <v>7</v>
      </c>
    </row>
    <row r="58">
      <c r="A58" s="16" t="n">
        <v>2025</v>
      </c>
      <c r="B58" s="29" t="n">
        <v>7</v>
      </c>
      <c r="C58" s="29" t="inlineStr">
        <is>
          <t>ene a jul</t>
        </is>
      </c>
      <c r="D58" s="29" t="n">
        <v>0</v>
      </c>
      <c r="E58" s="29" t="n">
        <v>1205.6</v>
      </c>
      <c r="F58" s="29" t="n">
        <v>1149.6</v>
      </c>
      <c r="G58" s="29" t="n">
        <v>1078.3</v>
      </c>
      <c r="H58" s="29" t="n">
        <v>1057.4</v>
      </c>
      <c r="I58" s="29" t="n">
        <v>56</v>
      </c>
      <c r="J58" s="29" t="n">
        <v>71.40000000000001</v>
      </c>
      <c r="K58" s="29" t="n">
        <v>20.9</v>
      </c>
      <c r="L58" s="29" t="n">
        <v>148.2</v>
      </c>
      <c r="M58" s="29" t="n">
        <v>-3.1</v>
      </c>
      <c r="N58" s="29" t="n">
        <v>-1.6</v>
      </c>
      <c r="O58" s="29" t="n">
        <v>-1.7</v>
      </c>
      <c r="P58" s="29" t="n">
        <v>-1.9</v>
      </c>
      <c r="Q58" s="29" t="n">
        <v>7</v>
      </c>
    </row>
    <row r="59">
      <c r="A59" s="13" t="n">
        <v>2026</v>
      </c>
      <c r="B59" s="18" t="n">
        <v>7</v>
      </c>
      <c r="C59" s="18" t="inlineStr">
        <is>
          <t>ene a jul</t>
        </is>
      </c>
      <c r="D59" s="18" t="n">
        <v>2</v>
      </c>
      <c r="E59" s="18" t="n">
        <v>1296.4</v>
      </c>
      <c r="F59" s="18" t="n">
        <v>1266.1</v>
      </c>
      <c r="G59" s="18" t="n">
        <v>1114.3</v>
      </c>
      <c r="H59" s="18" t="n">
        <v>1090</v>
      </c>
      <c r="I59" s="18" t="n">
        <v>30.4</v>
      </c>
      <c r="J59" s="18" t="n">
        <v>151.8</v>
      </c>
      <c r="K59" s="18" t="n">
        <v>24.3</v>
      </c>
      <c r="L59" s="18" t="n">
        <v>206.5</v>
      </c>
      <c r="M59" s="18" t="n">
        <v>7.5</v>
      </c>
      <c r="N59" s="18" t="n">
        <v>10.1</v>
      </c>
      <c r="O59" s="18" t="n">
        <v>3.3</v>
      </c>
      <c r="P59" s="18" t="n">
        <v>3.1</v>
      </c>
      <c r="Q59" s="18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Balance de oferta y autosuficiencia por producto</t>
        </is>
      </c>
    </row>
    <row r="2">
      <c r="A2" s="2" t="inlineStr">
        <is>
          <t>Miles de barriles diarios · promedio de enero a julio · autosuficiencia es producción nacional entre suministro total</t>
        </is>
      </c>
    </row>
    <row r="6">
      <c r="A6" s="12" t="inlineStr">
        <is>
          <t>Regular (R)</t>
        </is>
      </c>
    </row>
    <row r="7">
      <c r="A7" s="6" t="inlineStr">
        <is>
          <t>Año</t>
        </is>
      </c>
      <c r="B7" s="7" t="inlineStr">
        <is>
          <t>Meses</t>
        </is>
      </c>
      <c r="C7" s="7" t="inlineStr">
        <is>
          <t>Rango</t>
        </is>
      </c>
      <c r="D7" s="7" t="inlineStr">
        <is>
          <t>De ellos estimados</t>
        </is>
      </c>
      <c r="E7" s="7" t="inlineStr">
        <is>
          <t>Producción nacional</t>
        </is>
      </c>
      <c r="F7" s="7" t="inlineStr">
        <is>
          <t>Import. Pemex</t>
        </is>
      </c>
      <c r="G7" s="7" t="inlineStr">
        <is>
          <t>Import. particulares</t>
        </is>
      </c>
      <c r="H7" s="7" t="inlineStr">
        <is>
          <t>Exportación</t>
        </is>
      </c>
      <c r="I7" s="7" t="inlineStr">
        <is>
          <t>Autosuficiencia %</t>
        </is>
      </c>
      <c r="J7" s="7" t="inlineStr">
        <is>
          <t>Import. entre venta en bomba %</t>
        </is>
      </c>
      <c r="K7" s="6" t="inlineStr">
        <is>
          <t>Suministro total</t>
        </is>
      </c>
    </row>
    <row r="8">
      <c r="A8" s="16" t="n">
        <v>2019</v>
      </c>
      <c r="B8" s="29" t="n">
        <v>7</v>
      </c>
      <c r="C8" s="29" t="inlineStr">
        <is>
          <t>ene a jul</t>
        </is>
      </c>
      <c r="D8" s="29" t="n">
        <v>0</v>
      </c>
      <c r="E8" s="29" t="n">
        <v>178.8</v>
      </c>
      <c r="F8" s="29" t="n">
        <v>458.1</v>
      </c>
      <c r="G8" s="29" t="n">
        <v>54.8</v>
      </c>
      <c r="H8" s="29" t="n">
        <v>27.7</v>
      </c>
      <c r="I8" s="29" t="n">
        <v>26.9</v>
      </c>
      <c r="J8" s="29" t="n">
        <v>84.40000000000001</v>
      </c>
      <c r="K8" s="30">
        <f>E8+F8+G8-H8</f>
        <v/>
      </c>
    </row>
    <row r="9">
      <c r="A9" s="13" t="n">
        <v>2020</v>
      </c>
      <c r="B9" s="18" t="n">
        <v>7</v>
      </c>
      <c r="C9" s="18" t="inlineStr">
        <is>
          <t>ene a jul</t>
        </is>
      </c>
      <c r="D9" s="18" t="n">
        <v>0</v>
      </c>
      <c r="E9" s="18" t="n">
        <v>161.9</v>
      </c>
      <c r="F9" s="18" t="n">
        <v>306.8</v>
      </c>
      <c r="G9" s="18" t="n">
        <v>81.5</v>
      </c>
      <c r="H9" s="18" t="n">
        <v>11.6</v>
      </c>
      <c r="I9" s="18" t="n">
        <v>30.1</v>
      </c>
      <c r="J9" s="18" t="n">
        <v>76.5</v>
      </c>
      <c r="K9" s="30">
        <f>E9+F9+G9-H9</f>
        <v/>
      </c>
    </row>
    <row r="10">
      <c r="A10" s="16" t="n">
        <v>2021</v>
      </c>
      <c r="B10" s="29" t="n">
        <v>7</v>
      </c>
      <c r="C10" s="29" t="inlineStr">
        <is>
          <t>ene a jul</t>
        </is>
      </c>
      <c r="D10" s="29" t="n">
        <v>0</v>
      </c>
      <c r="E10" s="29" t="n">
        <v>178.6</v>
      </c>
      <c r="F10" s="29" t="n">
        <v>263.7</v>
      </c>
      <c r="G10" s="29" t="n">
        <v>128</v>
      </c>
      <c r="H10" s="29" t="n">
        <v>4.3</v>
      </c>
      <c r="I10" s="29" t="n">
        <v>31.6</v>
      </c>
      <c r="J10" s="29" t="n">
        <v>70</v>
      </c>
      <c r="K10" s="30">
        <f>E10+F10+G10-H10</f>
        <v/>
      </c>
    </row>
    <row r="11">
      <c r="A11" s="13" t="n">
        <v>2022</v>
      </c>
      <c r="B11" s="18" t="n">
        <v>7</v>
      </c>
      <c r="C11" s="18" t="inlineStr">
        <is>
          <t>ene a jul</t>
        </is>
      </c>
      <c r="D11" s="18" t="n">
        <v>0</v>
      </c>
      <c r="E11" s="18" t="n">
        <v>235.2</v>
      </c>
      <c r="F11" s="18" t="n">
        <v>344.5</v>
      </c>
      <c r="G11" s="18" t="n">
        <v>102.1</v>
      </c>
      <c r="H11" s="18" t="n">
        <v>6.7</v>
      </c>
      <c r="I11" s="18" t="n">
        <v>34.8</v>
      </c>
      <c r="J11" s="18" t="n">
        <v>69.59999999999999</v>
      </c>
      <c r="K11" s="30">
        <f>E11+F11+G11-H11</f>
        <v/>
      </c>
    </row>
    <row r="12">
      <c r="A12" s="16" t="n">
        <v>2023</v>
      </c>
      <c r="B12" s="29" t="n">
        <v>7</v>
      </c>
      <c r="C12" s="29" t="inlineStr">
        <is>
          <t>ene a jul</t>
        </is>
      </c>
      <c r="D12" s="29" t="n">
        <v>0</v>
      </c>
      <c r="E12" s="29" t="n">
        <v>245</v>
      </c>
      <c r="F12" s="29" t="n">
        <v>315.8</v>
      </c>
      <c r="G12" s="29" t="n">
        <v>110</v>
      </c>
      <c r="H12" s="29" t="n">
        <v>4.8</v>
      </c>
      <c r="I12" s="29" t="n">
        <v>36.8</v>
      </c>
      <c r="J12" s="29" t="n">
        <v>64</v>
      </c>
      <c r="K12" s="30">
        <f>E12+F12+G12-H12</f>
        <v/>
      </c>
    </row>
    <row r="13">
      <c r="A13" s="13" t="n">
        <v>2024</v>
      </c>
      <c r="B13" s="18" t="n">
        <v>7</v>
      </c>
      <c r="C13" s="18" t="inlineStr">
        <is>
          <t>ene a jul</t>
        </is>
      </c>
      <c r="D13" s="18" t="n">
        <v>0</v>
      </c>
      <c r="E13" s="18" t="n">
        <v>261.9</v>
      </c>
      <c r="F13" s="18" t="n">
        <v>308.6</v>
      </c>
      <c r="G13" s="18" t="n">
        <v>99.2</v>
      </c>
      <c r="H13" s="18" t="n">
        <v>2.2</v>
      </c>
      <c r="I13" s="18" t="n">
        <v>39.2</v>
      </c>
      <c r="J13" s="18" t="n">
        <v>62.1</v>
      </c>
      <c r="K13" s="30">
        <f>E13+F13+G13-H13</f>
        <v/>
      </c>
    </row>
    <row r="14">
      <c r="A14" s="16" t="n">
        <v>2025</v>
      </c>
      <c r="B14" s="29" t="n">
        <v>7</v>
      </c>
      <c r="C14" s="29" t="inlineStr">
        <is>
          <t>ene a jul</t>
        </is>
      </c>
      <c r="D14" s="29" t="n">
        <v>0</v>
      </c>
      <c r="E14" s="29" t="n">
        <v>283.2</v>
      </c>
      <c r="F14" s="29" t="n">
        <v>259.8</v>
      </c>
      <c r="G14" s="29" t="n">
        <v>102.8</v>
      </c>
      <c r="H14" s="29" t="n">
        <v>0</v>
      </c>
      <c r="I14" s="29" t="n">
        <v>43.8</v>
      </c>
      <c r="J14" s="29" t="n">
        <v>58.4</v>
      </c>
      <c r="K14" s="30">
        <f>E14+F14+G14-H14</f>
        <v/>
      </c>
    </row>
    <row r="15">
      <c r="A15" s="13" t="n">
        <v>2026</v>
      </c>
      <c r="B15" s="18" t="n">
        <v>7</v>
      </c>
      <c r="C15" s="18" t="inlineStr">
        <is>
          <t>ene a jul</t>
        </is>
      </c>
      <c r="D15" s="18" t="n">
        <v>2</v>
      </c>
      <c r="E15" s="18" t="n">
        <v>333.9</v>
      </c>
      <c r="F15" s="18" t="n">
        <v>257</v>
      </c>
      <c r="G15" s="18" t="n">
        <v>101.5</v>
      </c>
      <c r="H15" s="18" t="n">
        <v>0.7</v>
      </c>
      <c r="I15" s="18" t="n">
        <v>48.3</v>
      </c>
      <c r="J15" s="18" t="n">
        <v>55</v>
      </c>
      <c r="K15" s="30">
        <f>E15+F15+G15-H15</f>
        <v/>
      </c>
    </row>
    <row r="17">
      <c r="A17" s="12" t="inlineStr">
        <is>
          <t>Premium (P)</t>
        </is>
      </c>
    </row>
    <row r="18">
      <c r="A18" s="6" t="inlineStr">
        <is>
          <t>Año</t>
        </is>
      </c>
      <c r="B18" s="7" t="inlineStr">
        <is>
          <t>Meses</t>
        </is>
      </c>
      <c r="C18" s="7" t="inlineStr">
        <is>
          <t>Rango</t>
        </is>
      </c>
      <c r="D18" s="7" t="inlineStr">
        <is>
          <t>De ellos estimados</t>
        </is>
      </c>
      <c r="E18" s="7" t="inlineStr">
        <is>
          <t>Producción nacional</t>
        </is>
      </c>
      <c r="F18" s="7" t="inlineStr">
        <is>
          <t>Import. Pemex</t>
        </is>
      </c>
      <c r="G18" s="7" t="inlineStr">
        <is>
          <t>Import. particulares</t>
        </is>
      </c>
      <c r="H18" s="7" t="inlineStr">
        <is>
          <t>Exportación</t>
        </is>
      </c>
      <c r="I18" s="7" t="inlineStr">
        <is>
          <t>Autosuficiencia %</t>
        </is>
      </c>
      <c r="J18" s="7" t="inlineStr">
        <is>
          <t>Import. entre venta en bomba %</t>
        </is>
      </c>
      <c r="K18" s="6" t="inlineStr">
        <is>
          <t>Suministro total</t>
        </is>
      </c>
    </row>
    <row r="19">
      <c r="A19" s="13" t="n">
        <v>2019</v>
      </c>
      <c r="B19" s="18" t="n">
        <v>7</v>
      </c>
      <c r="C19" s="18" t="inlineStr">
        <is>
          <t>ene a jul</t>
        </is>
      </c>
      <c r="D19" s="18" t="n">
        <v>0</v>
      </c>
      <c r="E19" s="18" t="n">
        <v>33.2</v>
      </c>
      <c r="F19" s="18" t="n">
        <v>84.8</v>
      </c>
      <c r="G19" s="18" t="n">
        <v>10.2</v>
      </c>
      <c r="H19" s="18" t="n">
        <v>5.1</v>
      </c>
      <c r="I19" s="18" t="n">
        <v>27</v>
      </c>
      <c r="J19" s="18" t="n">
        <v>82.3</v>
      </c>
      <c r="K19" s="30">
        <f>E19+F19+G19-H19</f>
        <v/>
      </c>
    </row>
    <row r="20">
      <c r="A20" s="16" t="n">
        <v>2020</v>
      </c>
      <c r="B20" s="29" t="n">
        <v>7</v>
      </c>
      <c r="C20" s="29" t="inlineStr">
        <is>
          <t>ene a jul</t>
        </is>
      </c>
      <c r="D20" s="29" t="n">
        <v>0</v>
      </c>
      <c r="E20" s="29" t="n">
        <v>39.8</v>
      </c>
      <c r="F20" s="29" t="n">
        <v>75.09999999999999</v>
      </c>
      <c r="G20" s="29" t="n">
        <v>20.7</v>
      </c>
      <c r="H20" s="29" t="n">
        <v>2.7</v>
      </c>
      <c r="I20" s="29" t="n">
        <v>30</v>
      </c>
      <c r="J20" s="29" t="n">
        <v>78.09999999999999</v>
      </c>
      <c r="K20" s="30">
        <f>E20+F20+G20-H20</f>
        <v/>
      </c>
    </row>
    <row r="21">
      <c r="A21" s="13" t="n">
        <v>2021</v>
      </c>
      <c r="B21" s="18" t="n">
        <v>7</v>
      </c>
      <c r="C21" s="18" t="inlineStr">
        <is>
          <t>ene a jul</t>
        </is>
      </c>
      <c r="D21" s="18" t="n">
        <v>0</v>
      </c>
      <c r="E21" s="18" t="n">
        <v>55.6</v>
      </c>
      <c r="F21" s="18" t="n">
        <v>79.59999999999999</v>
      </c>
      <c r="G21" s="18" t="n">
        <v>38.1</v>
      </c>
      <c r="H21" s="18" t="n">
        <v>1.2</v>
      </c>
      <c r="I21" s="18" t="n">
        <v>32.3</v>
      </c>
      <c r="J21" s="18" t="n">
        <v>74</v>
      </c>
      <c r="K21" s="30">
        <f>E21+F21+G21-H21</f>
        <v/>
      </c>
    </row>
    <row r="22">
      <c r="A22" s="16" t="n">
        <v>2022</v>
      </c>
      <c r="B22" s="29" t="n">
        <v>7</v>
      </c>
      <c r="C22" s="29" t="inlineStr">
        <is>
          <t>ene a jul</t>
        </is>
      </c>
      <c r="D22" s="29" t="n">
        <v>0</v>
      </c>
      <c r="E22" s="29" t="n">
        <v>51.7</v>
      </c>
      <c r="F22" s="29" t="n">
        <v>75.7</v>
      </c>
      <c r="G22" s="29" t="n">
        <v>22.5</v>
      </c>
      <c r="H22" s="29" t="n">
        <v>1.5</v>
      </c>
      <c r="I22" s="29" t="n">
        <v>34.9</v>
      </c>
      <c r="J22" s="29" t="n">
        <v>67.90000000000001</v>
      </c>
      <c r="K22" s="30">
        <f>E22+F22+G22-H22</f>
        <v/>
      </c>
    </row>
    <row r="23">
      <c r="A23" s="13" t="n">
        <v>2023</v>
      </c>
      <c r="B23" s="18" t="n">
        <v>7</v>
      </c>
      <c r="C23" s="18" t="inlineStr">
        <is>
          <t>ene a jul</t>
        </is>
      </c>
      <c r="D23" s="18" t="n">
        <v>0</v>
      </c>
      <c r="E23" s="18" t="n">
        <v>55.5</v>
      </c>
      <c r="F23" s="18" t="n">
        <v>71.59999999999999</v>
      </c>
      <c r="G23" s="18" t="n">
        <v>24.9</v>
      </c>
      <c r="H23" s="18" t="n">
        <v>1.1</v>
      </c>
      <c r="I23" s="18" t="n">
        <v>36.8</v>
      </c>
      <c r="J23" s="18" t="n">
        <v>65.3</v>
      </c>
      <c r="K23" s="30">
        <f>E23+F23+G23-H23</f>
        <v/>
      </c>
    </row>
    <row r="24">
      <c r="A24" s="16" t="n">
        <v>2024</v>
      </c>
      <c r="B24" s="29" t="n">
        <v>7</v>
      </c>
      <c r="C24" s="29" t="inlineStr">
        <is>
          <t>ene a jul</t>
        </is>
      </c>
      <c r="D24" s="29" t="n">
        <v>0</v>
      </c>
      <c r="E24" s="29" t="n">
        <v>67.7</v>
      </c>
      <c r="F24" s="29" t="n">
        <v>80</v>
      </c>
      <c r="G24" s="29" t="n">
        <v>25.7</v>
      </c>
      <c r="H24" s="29" t="n">
        <v>0.6</v>
      </c>
      <c r="I24" s="29" t="n">
        <v>39.2</v>
      </c>
      <c r="J24" s="29" t="n">
        <v>61.8</v>
      </c>
      <c r="K24" s="30">
        <f>E24+F24+G24-H24</f>
        <v/>
      </c>
    </row>
    <row r="25">
      <c r="A25" s="13" t="n">
        <v>2025</v>
      </c>
      <c r="B25" s="18" t="n">
        <v>7</v>
      </c>
      <c r="C25" s="18" t="inlineStr">
        <is>
          <t>ene a jul</t>
        </is>
      </c>
      <c r="D25" s="18" t="n">
        <v>0</v>
      </c>
      <c r="E25" s="18" t="n">
        <v>86.2</v>
      </c>
      <c r="F25" s="18" t="n">
        <v>79.09999999999999</v>
      </c>
      <c r="G25" s="18" t="n">
        <v>31.3</v>
      </c>
      <c r="H25" s="18" t="n">
        <v>0</v>
      </c>
      <c r="I25" s="18" t="n">
        <v>43.8</v>
      </c>
      <c r="J25" s="18" t="n">
        <v>57.2</v>
      </c>
      <c r="K25" s="30">
        <f>E25+F25+G25-H25</f>
        <v/>
      </c>
    </row>
    <row r="26">
      <c r="A26" s="16" t="n">
        <v>2026</v>
      </c>
      <c r="B26" s="29" t="n">
        <v>7</v>
      </c>
      <c r="C26" s="29" t="inlineStr">
        <is>
          <t>ene a jul</t>
        </is>
      </c>
      <c r="D26" s="29" t="n">
        <v>2</v>
      </c>
      <c r="E26" s="29" t="n">
        <v>85.59999999999999</v>
      </c>
      <c r="F26" s="29" t="n">
        <v>63.7</v>
      </c>
      <c r="G26" s="29" t="n">
        <v>27.4</v>
      </c>
      <c r="H26" s="29" t="n">
        <v>0.2</v>
      </c>
      <c r="I26" s="29" t="n">
        <v>48.5</v>
      </c>
      <c r="J26" s="29" t="n">
        <v>51</v>
      </c>
      <c r="K26" s="30">
        <f>E26+F26+G26-H26</f>
        <v/>
      </c>
    </row>
    <row r="28">
      <c r="A28" s="12" t="inlineStr">
        <is>
          <t>Diésel (D)</t>
        </is>
      </c>
    </row>
    <row r="29">
      <c r="A29" s="6" t="inlineStr">
        <is>
          <t>Año</t>
        </is>
      </c>
      <c r="B29" s="7" t="inlineStr">
        <is>
          <t>Meses</t>
        </is>
      </c>
      <c r="C29" s="7" t="inlineStr">
        <is>
          <t>Rango</t>
        </is>
      </c>
      <c r="D29" s="7" t="inlineStr">
        <is>
          <t>De ellos estimados</t>
        </is>
      </c>
      <c r="E29" s="7" t="inlineStr">
        <is>
          <t>Producción nacional</t>
        </is>
      </c>
      <c r="F29" s="7" t="inlineStr">
        <is>
          <t>Import. Pemex</t>
        </is>
      </c>
      <c r="G29" s="7" t="inlineStr">
        <is>
          <t>Import. particulares</t>
        </is>
      </c>
      <c r="H29" s="7" t="inlineStr">
        <is>
          <t>Exportación</t>
        </is>
      </c>
      <c r="I29" s="7" t="inlineStr">
        <is>
          <t>Autosuficiencia %</t>
        </is>
      </c>
      <c r="J29" s="7" t="inlineStr">
        <is>
          <t>Import. entre venta en bomba %</t>
        </is>
      </c>
      <c r="K29" s="6" t="inlineStr">
        <is>
          <t>Suministro total</t>
        </is>
      </c>
    </row>
    <row r="30">
      <c r="A30" s="16" t="n">
        <v>2019</v>
      </c>
      <c r="B30" s="29" t="n">
        <v>7</v>
      </c>
      <c r="C30" s="29" t="inlineStr">
        <is>
          <t>ene a jul</t>
        </is>
      </c>
      <c r="D30" s="29" t="n">
        <v>0</v>
      </c>
      <c r="E30" s="29" t="n">
        <v>133</v>
      </c>
      <c r="F30" s="29" t="n">
        <v>189.1</v>
      </c>
      <c r="G30" s="29" t="n">
        <v>82.09999999999999</v>
      </c>
      <c r="H30" s="29" t="n">
        <v>0</v>
      </c>
      <c r="I30" s="29" t="n">
        <v>32.9</v>
      </c>
      <c r="J30" s="29" t="n">
        <v>116.4</v>
      </c>
      <c r="K30" s="30">
        <f>E30+F30+G30-H30</f>
        <v/>
      </c>
    </row>
    <row r="31">
      <c r="A31" s="13" t="n">
        <v>2020</v>
      </c>
      <c r="B31" s="18" t="n">
        <v>7</v>
      </c>
      <c r="C31" s="18" t="inlineStr">
        <is>
          <t>ene a jul</t>
        </is>
      </c>
      <c r="D31" s="18" t="n">
        <v>0</v>
      </c>
      <c r="E31" s="18" t="n">
        <v>117.8</v>
      </c>
      <c r="F31" s="18" t="n">
        <v>118.4</v>
      </c>
      <c r="G31" s="18" t="n">
        <v>82.7</v>
      </c>
      <c r="H31" s="18" t="n">
        <v>0</v>
      </c>
      <c r="I31" s="18" t="n">
        <v>36.9</v>
      </c>
      <c r="J31" s="18" t="n">
        <v>98.59999999999999</v>
      </c>
      <c r="K31" s="30">
        <f>E31+F31+G31-H31</f>
        <v/>
      </c>
    </row>
    <row r="32">
      <c r="A32" s="16" t="n">
        <v>2021</v>
      </c>
      <c r="B32" s="29" t="n">
        <v>7</v>
      </c>
      <c r="C32" s="29" t="inlineStr">
        <is>
          <t>ene a jul</t>
        </is>
      </c>
      <c r="D32" s="29" t="n">
        <v>0</v>
      </c>
      <c r="E32" s="29" t="n">
        <v>113.1</v>
      </c>
      <c r="F32" s="29" t="n">
        <v>110.8</v>
      </c>
      <c r="G32" s="29" t="n">
        <v>103.4</v>
      </c>
      <c r="H32" s="29" t="n">
        <v>0</v>
      </c>
      <c r="I32" s="29" t="n">
        <v>34.6</v>
      </c>
      <c r="J32" s="29" t="n">
        <v>99.40000000000001</v>
      </c>
      <c r="K32" s="30">
        <f>E32+F32+G32-H32</f>
        <v/>
      </c>
    </row>
    <row r="33">
      <c r="A33" s="13" t="n">
        <v>2022</v>
      </c>
      <c r="B33" s="18" t="n">
        <v>7</v>
      </c>
      <c r="C33" s="18" t="inlineStr">
        <is>
          <t>ene a jul</t>
        </is>
      </c>
      <c r="D33" s="18" t="n">
        <v>0</v>
      </c>
      <c r="E33" s="18" t="n">
        <v>152.7</v>
      </c>
      <c r="F33" s="18" t="n">
        <v>161.9</v>
      </c>
      <c r="G33" s="18" t="n">
        <v>82.40000000000001</v>
      </c>
      <c r="H33" s="18" t="n">
        <v>0</v>
      </c>
      <c r="I33" s="18" t="n">
        <v>38.5</v>
      </c>
      <c r="J33" s="18" t="n">
        <v>100.6</v>
      </c>
      <c r="K33" s="30">
        <f>E33+F33+G33-H33</f>
        <v/>
      </c>
    </row>
    <row r="34">
      <c r="A34" s="16" t="n">
        <v>2023</v>
      </c>
      <c r="B34" s="29" t="n">
        <v>7</v>
      </c>
      <c r="C34" s="29" t="inlineStr">
        <is>
          <t>ene a jul</t>
        </is>
      </c>
      <c r="D34" s="29" t="n">
        <v>0</v>
      </c>
      <c r="E34" s="29" t="n">
        <v>136.3</v>
      </c>
      <c r="F34" s="29" t="n">
        <v>164.8</v>
      </c>
      <c r="G34" s="29" t="n">
        <v>94.59999999999999</v>
      </c>
      <c r="H34" s="29" t="n">
        <v>0</v>
      </c>
      <c r="I34" s="29" t="n">
        <v>34.4</v>
      </c>
      <c r="J34" s="29" t="n">
        <v>104.1</v>
      </c>
      <c r="K34" s="30">
        <f>E34+F34+G34-H34</f>
        <v/>
      </c>
    </row>
    <row r="35">
      <c r="A35" s="13" t="n">
        <v>2024</v>
      </c>
      <c r="B35" s="18" t="n">
        <v>7</v>
      </c>
      <c r="C35" s="18" t="inlineStr">
        <is>
          <t>ene a jul</t>
        </is>
      </c>
      <c r="D35" s="18" t="n">
        <v>0</v>
      </c>
      <c r="E35" s="18" t="n">
        <v>184.1</v>
      </c>
      <c r="F35" s="18" t="n">
        <v>145.6</v>
      </c>
      <c r="G35" s="18" t="n">
        <v>77.3</v>
      </c>
      <c r="H35" s="18" t="n">
        <v>2.8</v>
      </c>
      <c r="I35" s="18" t="n">
        <v>45.6</v>
      </c>
      <c r="J35" s="18" t="n">
        <v>89.09999999999999</v>
      </c>
      <c r="K35" s="30">
        <f>E35+F35+G35-H35</f>
        <v/>
      </c>
    </row>
    <row r="36">
      <c r="A36" s="16" t="n">
        <v>2025</v>
      </c>
      <c r="B36" s="29" t="n">
        <v>7</v>
      </c>
      <c r="C36" s="29" t="inlineStr">
        <is>
          <t>ene a jul</t>
        </is>
      </c>
      <c r="D36" s="29" t="n">
        <v>0</v>
      </c>
      <c r="E36" s="29" t="n">
        <v>198.5</v>
      </c>
      <c r="F36" s="29" t="n">
        <v>90.09999999999999</v>
      </c>
      <c r="G36" s="29" t="n">
        <v>87.59999999999999</v>
      </c>
      <c r="H36" s="29" t="n">
        <v>13</v>
      </c>
      <c r="I36" s="29" t="n">
        <v>54.6</v>
      </c>
      <c r="J36" s="29" t="n">
        <v>73</v>
      </c>
      <c r="K36" s="30">
        <f>E36+F36+G36-H36</f>
        <v/>
      </c>
    </row>
    <row r="37">
      <c r="A37" s="13" t="n">
        <v>2026</v>
      </c>
      <c r="B37" s="18" t="n">
        <v>7</v>
      </c>
      <c r="C37" s="18" t="inlineStr">
        <is>
          <t>ene a jul</t>
        </is>
      </c>
      <c r="D37" s="18" t="n">
        <v>2</v>
      </c>
      <c r="E37" s="18" t="n">
        <v>267.8</v>
      </c>
      <c r="F37" s="18" t="n">
        <v>80.59999999999999</v>
      </c>
      <c r="G37" s="18" t="n">
        <v>92.8</v>
      </c>
      <c r="H37" s="18" t="n">
        <v>13</v>
      </c>
      <c r="I37" s="18" t="n">
        <v>62.5</v>
      </c>
      <c r="J37" s="18" t="n">
        <v>66.90000000000001</v>
      </c>
      <c r="K37" s="30">
        <f>E37+F37+G37-H37</f>
        <v/>
      </c>
    </row>
    <row r="39">
      <c r="A39" s="12" t="inlineStr">
        <is>
          <t>Gasolinas (R + P)</t>
        </is>
      </c>
    </row>
    <row r="40">
      <c r="A40" s="6" t="inlineStr">
        <is>
          <t>Año</t>
        </is>
      </c>
      <c r="B40" s="7" t="inlineStr">
        <is>
          <t>Meses</t>
        </is>
      </c>
      <c r="C40" s="7" t="inlineStr">
        <is>
          <t>Rango</t>
        </is>
      </c>
      <c r="D40" s="7" t="inlineStr">
        <is>
          <t>De ellos estimados</t>
        </is>
      </c>
      <c r="E40" s="7" t="inlineStr">
        <is>
          <t>Producción nacional</t>
        </is>
      </c>
      <c r="F40" s="7" t="inlineStr">
        <is>
          <t>Import. Pemex</t>
        </is>
      </c>
      <c r="G40" s="7" t="inlineStr">
        <is>
          <t>Import. particulares</t>
        </is>
      </c>
      <c r="H40" s="7" t="inlineStr">
        <is>
          <t>Exportación</t>
        </is>
      </c>
      <c r="I40" s="7" t="inlineStr">
        <is>
          <t>Autosuficiencia %</t>
        </is>
      </c>
      <c r="J40" s="7" t="inlineStr">
        <is>
          <t>Import. entre venta en bomba %</t>
        </is>
      </c>
      <c r="K40" s="6" t="inlineStr">
        <is>
          <t>Suministro total</t>
        </is>
      </c>
    </row>
    <row r="41">
      <c r="A41" s="13" t="n">
        <v>2019</v>
      </c>
      <c r="B41" s="18" t="n">
        <v>7</v>
      </c>
      <c r="C41" s="18" t="inlineStr">
        <is>
          <t>ene a jul</t>
        </is>
      </c>
      <c r="D41" s="18" t="n">
        <v>0</v>
      </c>
      <c r="E41" s="18" t="n">
        <v>212</v>
      </c>
      <c r="F41" s="18" t="n">
        <v>542.9</v>
      </c>
      <c r="G41" s="18" t="n">
        <v>65</v>
      </c>
      <c r="H41" s="18" t="n">
        <v>32.8</v>
      </c>
      <c r="I41" s="18" t="n">
        <v>26.9</v>
      </c>
      <c r="J41" s="18" t="n">
        <v>84</v>
      </c>
      <c r="K41" s="30">
        <f>E41+F41+G41-H41</f>
        <v/>
      </c>
    </row>
    <row r="42">
      <c r="A42" s="16" t="n">
        <v>2020</v>
      </c>
      <c r="B42" s="29" t="n">
        <v>7</v>
      </c>
      <c r="C42" s="29" t="inlineStr">
        <is>
          <t>ene a jul</t>
        </is>
      </c>
      <c r="D42" s="29" t="n">
        <v>0</v>
      </c>
      <c r="E42" s="29" t="n">
        <v>201.8</v>
      </c>
      <c r="F42" s="29" t="n">
        <v>381.9</v>
      </c>
      <c r="G42" s="29" t="n">
        <v>102.2</v>
      </c>
      <c r="H42" s="29" t="n">
        <v>14.3</v>
      </c>
      <c r="I42" s="29" t="n">
        <v>30</v>
      </c>
      <c r="J42" s="29" t="n">
        <v>76.8</v>
      </c>
      <c r="K42" s="30">
        <f>E42+F42+G42-H42</f>
        <v/>
      </c>
    </row>
    <row r="43">
      <c r="A43" s="13" t="n">
        <v>2021</v>
      </c>
      <c r="B43" s="18" t="n">
        <v>7</v>
      </c>
      <c r="C43" s="18" t="inlineStr">
        <is>
          <t>ene a jul</t>
        </is>
      </c>
      <c r="D43" s="18" t="n">
        <v>0</v>
      </c>
      <c r="E43" s="18" t="n">
        <v>234.2</v>
      </c>
      <c r="F43" s="18" t="n">
        <v>343.3</v>
      </c>
      <c r="G43" s="18" t="n">
        <v>166.1</v>
      </c>
      <c r="H43" s="18" t="n">
        <v>5.5</v>
      </c>
      <c r="I43" s="18" t="n">
        <v>31.7</v>
      </c>
      <c r="J43" s="18" t="n">
        <v>70.90000000000001</v>
      </c>
      <c r="K43" s="30">
        <f>E43+F43+G43-H43</f>
        <v/>
      </c>
    </row>
    <row r="44">
      <c r="A44" s="16" t="n">
        <v>2022</v>
      </c>
      <c r="B44" s="29" t="n">
        <v>7</v>
      </c>
      <c r="C44" s="29" t="inlineStr">
        <is>
          <t>ene a jul</t>
        </is>
      </c>
      <c r="D44" s="29" t="n">
        <v>0</v>
      </c>
      <c r="E44" s="29" t="n">
        <v>287</v>
      </c>
      <c r="F44" s="29" t="n">
        <v>420.2</v>
      </c>
      <c r="G44" s="29" t="n">
        <v>124.6</v>
      </c>
      <c r="H44" s="29" t="n">
        <v>8.199999999999999</v>
      </c>
      <c r="I44" s="29" t="n">
        <v>34.8</v>
      </c>
      <c r="J44" s="29" t="n">
        <v>69.3</v>
      </c>
      <c r="K44" s="30">
        <f>E44+F44+G44-H44</f>
        <v/>
      </c>
    </row>
    <row r="45">
      <c r="A45" s="13" t="n">
        <v>2023</v>
      </c>
      <c r="B45" s="18" t="n">
        <v>7</v>
      </c>
      <c r="C45" s="18" t="inlineStr">
        <is>
          <t>ene a jul</t>
        </is>
      </c>
      <c r="D45" s="18" t="n">
        <v>0</v>
      </c>
      <c r="E45" s="18" t="n">
        <v>300.6</v>
      </c>
      <c r="F45" s="18" t="n">
        <v>387.3</v>
      </c>
      <c r="G45" s="18" t="n">
        <v>135</v>
      </c>
      <c r="H45" s="18" t="n">
        <v>5.9</v>
      </c>
      <c r="I45" s="18" t="n">
        <v>36.8</v>
      </c>
      <c r="J45" s="18" t="n">
        <v>64.2</v>
      </c>
      <c r="K45" s="30">
        <f>E45+F45+G45-H45</f>
        <v/>
      </c>
    </row>
    <row r="46">
      <c r="A46" s="16" t="n">
        <v>2024</v>
      </c>
      <c r="B46" s="29" t="n">
        <v>7</v>
      </c>
      <c r="C46" s="29" t="inlineStr">
        <is>
          <t>ene a jul</t>
        </is>
      </c>
      <c r="D46" s="29" t="n">
        <v>0</v>
      </c>
      <c r="E46" s="29" t="n">
        <v>329.6</v>
      </c>
      <c r="F46" s="29" t="n">
        <v>388.6</v>
      </c>
      <c r="G46" s="29" t="n">
        <v>124.9</v>
      </c>
      <c r="H46" s="29" t="n">
        <v>2.7</v>
      </c>
      <c r="I46" s="29" t="n">
        <v>39.2</v>
      </c>
      <c r="J46" s="29" t="n">
        <v>62</v>
      </c>
      <c r="K46" s="30">
        <f>E46+F46+G46-H46</f>
        <v/>
      </c>
    </row>
    <row r="47">
      <c r="A47" s="13" t="n">
        <v>2025</v>
      </c>
      <c r="B47" s="18" t="n">
        <v>7</v>
      </c>
      <c r="C47" s="18" t="inlineStr">
        <is>
          <t>ene a jul</t>
        </is>
      </c>
      <c r="D47" s="18" t="n">
        <v>0</v>
      </c>
      <c r="E47" s="18" t="n">
        <v>369.4</v>
      </c>
      <c r="F47" s="18" t="n">
        <v>338.9</v>
      </c>
      <c r="G47" s="18" t="n">
        <v>134.1</v>
      </c>
      <c r="H47" s="18" t="n">
        <v>0</v>
      </c>
      <c r="I47" s="18" t="n">
        <v>43.8</v>
      </c>
      <c r="J47" s="18" t="n">
        <v>58.1</v>
      </c>
      <c r="K47" s="30">
        <f>E47+F47+G47-H47</f>
        <v/>
      </c>
    </row>
    <row r="48">
      <c r="A48" s="16" t="n">
        <v>2026</v>
      </c>
      <c r="B48" s="29" t="n">
        <v>7</v>
      </c>
      <c r="C48" s="29" t="inlineStr">
        <is>
          <t>ene a jul</t>
        </is>
      </c>
      <c r="D48" s="29" t="n">
        <v>2</v>
      </c>
      <c r="E48" s="29" t="n">
        <v>419.5</v>
      </c>
      <c r="F48" s="29" t="n">
        <v>320.7</v>
      </c>
      <c r="G48" s="29" t="n">
        <v>128.9</v>
      </c>
      <c r="H48" s="29" t="n">
        <v>0.9</v>
      </c>
      <c r="I48" s="29" t="n">
        <v>48.3</v>
      </c>
      <c r="J48" s="29" t="n">
        <v>54.1</v>
      </c>
      <c r="K48" s="30">
        <f>E48+F48+G48-H48</f>
        <v/>
      </c>
    </row>
    <row r="50">
      <c r="A50" s="12" t="inlineStr">
        <is>
          <t>Todos (R + P + D)</t>
        </is>
      </c>
    </row>
    <row r="51">
      <c r="A51" s="6" t="inlineStr">
        <is>
          <t>Año</t>
        </is>
      </c>
      <c r="B51" s="7" t="inlineStr">
        <is>
          <t>Meses</t>
        </is>
      </c>
      <c r="C51" s="7" t="inlineStr">
        <is>
          <t>Rango</t>
        </is>
      </c>
      <c r="D51" s="7" t="inlineStr">
        <is>
          <t>De ellos estimados</t>
        </is>
      </c>
      <c r="E51" s="7" t="inlineStr">
        <is>
          <t>Producción nacional</t>
        </is>
      </c>
      <c r="F51" s="7" t="inlineStr">
        <is>
          <t>Import. Pemex</t>
        </is>
      </c>
      <c r="G51" s="7" t="inlineStr">
        <is>
          <t>Import. particulares</t>
        </is>
      </c>
      <c r="H51" s="7" t="inlineStr">
        <is>
          <t>Exportación</t>
        </is>
      </c>
      <c r="I51" s="7" t="inlineStr">
        <is>
          <t>Autosuficiencia %</t>
        </is>
      </c>
      <c r="J51" s="7" t="inlineStr">
        <is>
          <t>Import. entre venta en bomba %</t>
        </is>
      </c>
      <c r="K51" s="6" t="inlineStr">
        <is>
          <t>Suministro total</t>
        </is>
      </c>
    </row>
    <row r="52">
      <c r="A52" s="16" t="n">
        <v>2019</v>
      </c>
      <c r="B52" s="29" t="n">
        <v>7</v>
      </c>
      <c r="C52" s="29" t="inlineStr">
        <is>
          <t>ene a jul</t>
        </is>
      </c>
      <c r="D52" s="29" t="n">
        <v>0</v>
      </c>
      <c r="E52" s="29" t="n">
        <v>345</v>
      </c>
      <c r="F52" s="29" t="n">
        <v>732</v>
      </c>
      <c r="G52" s="29" t="n">
        <v>147.1</v>
      </c>
      <c r="H52" s="29" t="n">
        <v>32.8</v>
      </c>
      <c r="I52" s="29" t="n">
        <v>29</v>
      </c>
      <c r="J52" s="29" t="n">
        <v>91.90000000000001</v>
      </c>
      <c r="K52" s="30">
        <f>E52+F52+G52-H52</f>
        <v/>
      </c>
    </row>
    <row r="53">
      <c r="A53" s="13" t="n">
        <v>2020</v>
      </c>
      <c r="B53" s="18" t="n">
        <v>7</v>
      </c>
      <c r="C53" s="18" t="inlineStr">
        <is>
          <t>ene a jul</t>
        </is>
      </c>
      <c r="D53" s="18" t="n">
        <v>0</v>
      </c>
      <c r="E53" s="18" t="n">
        <v>319.5</v>
      </c>
      <c r="F53" s="18" t="n">
        <v>500.3</v>
      </c>
      <c r="G53" s="18" t="n">
        <v>184.9</v>
      </c>
      <c r="H53" s="18" t="n">
        <v>14.3</v>
      </c>
      <c r="I53" s="18" t="n">
        <v>32.3</v>
      </c>
      <c r="J53" s="18" t="n">
        <v>82.09999999999999</v>
      </c>
      <c r="K53" s="30">
        <f>E53+F53+G53-H53</f>
        <v/>
      </c>
    </row>
    <row r="54">
      <c r="A54" s="16" t="n">
        <v>2021</v>
      </c>
      <c r="B54" s="29" t="n">
        <v>7</v>
      </c>
      <c r="C54" s="29" t="inlineStr">
        <is>
          <t>ene a jul</t>
        </is>
      </c>
      <c r="D54" s="29" t="n">
        <v>0</v>
      </c>
      <c r="E54" s="29" t="n">
        <v>347.3</v>
      </c>
      <c r="F54" s="29" t="n">
        <v>454.2</v>
      </c>
      <c r="G54" s="29" t="n">
        <v>269.4</v>
      </c>
      <c r="H54" s="29" t="n">
        <v>5.5</v>
      </c>
      <c r="I54" s="29" t="n">
        <v>32.6</v>
      </c>
      <c r="J54" s="29" t="n">
        <v>77.5</v>
      </c>
      <c r="K54" s="30">
        <f>E54+F54+G54-H54</f>
        <v/>
      </c>
    </row>
    <row r="55">
      <c r="A55" s="13" t="n">
        <v>2022</v>
      </c>
      <c r="B55" s="18" t="n">
        <v>7</v>
      </c>
      <c r="C55" s="18" t="inlineStr">
        <is>
          <t>ene a jul</t>
        </is>
      </c>
      <c r="D55" s="18" t="n">
        <v>0</v>
      </c>
      <c r="E55" s="18" t="n">
        <v>439.6</v>
      </c>
      <c r="F55" s="18" t="n">
        <v>582.1</v>
      </c>
      <c r="G55" s="18" t="n">
        <v>206.9</v>
      </c>
      <c r="H55" s="18" t="n">
        <v>8.199999999999999</v>
      </c>
      <c r="I55" s="18" t="n">
        <v>36</v>
      </c>
      <c r="J55" s="18" t="n">
        <v>76.59999999999999</v>
      </c>
      <c r="K55" s="30">
        <f>E55+F55+G55-H55</f>
        <v/>
      </c>
    </row>
    <row r="56">
      <c r="A56" s="16" t="n">
        <v>2023</v>
      </c>
      <c r="B56" s="29" t="n">
        <v>7</v>
      </c>
      <c r="C56" s="29" t="inlineStr">
        <is>
          <t>ene a jul</t>
        </is>
      </c>
      <c r="D56" s="29" t="n">
        <v>0</v>
      </c>
      <c r="E56" s="29" t="n">
        <v>436.8</v>
      </c>
      <c r="F56" s="29" t="n">
        <v>552.2</v>
      </c>
      <c r="G56" s="29" t="n">
        <v>229.5</v>
      </c>
      <c r="H56" s="29" t="n">
        <v>5.9</v>
      </c>
      <c r="I56" s="29" t="n">
        <v>36</v>
      </c>
      <c r="J56" s="29" t="n">
        <v>73.5</v>
      </c>
      <c r="K56" s="30">
        <f>E56+F56+G56-H56</f>
        <v/>
      </c>
    </row>
    <row r="57">
      <c r="A57" s="13" t="n">
        <v>2024</v>
      </c>
      <c r="B57" s="18" t="n">
        <v>7</v>
      </c>
      <c r="C57" s="18" t="inlineStr">
        <is>
          <t>ene a jul</t>
        </is>
      </c>
      <c r="D57" s="18" t="n">
        <v>0</v>
      </c>
      <c r="E57" s="18" t="n">
        <v>513.8</v>
      </c>
      <c r="F57" s="18" t="n">
        <v>534.2</v>
      </c>
      <c r="G57" s="18" t="n">
        <v>202.1</v>
      </c>
      <c r="H57" s="18" t="n">
        <v>5.5</v>
      </c>
      <c r="I57" s="18" t="n">
        <v>41.3</v>
      </c>
      <c r="J57" s="18" t="n">
        <v>68.3</v>
      </c>
      <c r="K57" s="30">
        <f>E57+F57+G57-H57</f>
        <v/>
      </c>
    </row>
    <row r="58">
      <c r="A58" s="16" t="n">
        <v>2025</v>
      </c>
      <c r="B58" s="29" t="n">
        <v>7</v>
      </c>
      <c r="C58" s="29" t="inlineStr">
        <is>
          <t>ene a jul</t>
        </is>
      </c>
      <c r="D58" s="29" t="n">
        <v>0</v>
      </c>
      <c r="E58" s="29" t="n">
        <v>567.9</v>
      </c>
      <c r="F58" s="29" t="n">
        <v>429</v>
      </c>
      <c r="G58" s="29" t="n">
        <v>221.7</v>
      </c>
      <c r="H58" s="29" t="n">
        <v>13</v>
      </c>
      <c r="I58" s="29" t="n">
        <v>47.1</v>
      </c>
      <c r="J58" s="29" t="n">
        <v>61.5</v>
      </c>
      <c r="K58" s="30">
        <f>E58+F58+G58-H58</f>
        <v/>
      </c>
    </row>
    <row r="59">
      <c r="A59" s="13" t="n">
        <v>2026</v>
      </c>
      <c r="B59" s="18" t="n">
        <v>7</v>
      </c>
      <c r="C59" s="18" t="inlineStr">
        <is>
          <t>ene a jul</t>
        </is>
      </c>
      <c r="D59" s="18" t="n">
        <v>2</v>
      </c>
      <c r="E59" s="18" t="n">
        <v>687.3</v>
      </c>
      <c r="F59" s="18" t="n">
        <v>401.4</v>
      </c>
      <c r="G59" s="18" t="n">
        <v>221.7</v>
      </c>
      <c r="H59" s="18" t="n">
        <v>13.9</v>
      </c>
      <c r="I59" s="18" t="n">
        <v>53</v>
      </c>
      <c r="J59" s="18" t="n">
        <v>57.2</v>
      </c>
      <c r="K59" s="30">
        <f>E59+F59+G59-H59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El sobrante del circuito de Pemex por producto</t>
        </is>
      </c>
    </row>
    <row r="2">
      <c r="A2" s="2" t="inlineStr">
        <is>
          <t>Miles de barriles diarios · (producción + importación propia − exportación) − ventas internas</t>
        </is>
      </c>
    </row>
    <row r="6">
      <c r="A6" s="12" t="inlineStr">
        <is>
          <t>Regular (R)</t>
        </is>
      </c>
    </row>
    <row r="7">
      <c r="A7" s="6" t="inlineStr">
        <is>
          <t>Año</t>
        </is>
      </c>
      <c r="B7" s="7" t="inlineStr">
        <is>
          <t>Sobrante</t>
        </is>
      </c>
      <c r="C7" s="7" t="inlineStr">
        <is>
          <t>Meses</t>
        </is>
      </c>
      <c r="D7" s="7" t="inlineStr">
        <is>
          <t>Rango</t>
        </is>
      </c>
      <c r="E7" s="7" t="inlineStr">
        <is>
          <t>De ellos estimados</t>
        </is>
      </c>
    </row>
    <row r="8">
      <c r="A8" s="16" t="n">
        <v>2019</v>
      </c>
      <c r="B8" s="29" t="n">
        <v>-6.2</v>
      </c>
      <c r="C8" s="29" t="n">
        <v>7</v>
      </c>
      <c r="D8" s="29" t="inlineStr">
        <is>
          <t>ene a jul</t>
        </is>
      </c>
      <c r="E8" s="29" t="n">
        <v>0</v>
      </c>
    </row>
    <row r="9">
      <c r="A9" s="13" t="n">
        <v>2020</v>
      </c>
      <c r="B9" s="18" t="n">
        <v>-0.3</v>
      </c>
      <c r="C9" s="18" t="n">
        <v>7</v>
      </c>
      <c r="D9" s="18" t="inlineStr">
        <is>
          <t>ene a jul</t>
        </is>
      </c>
      <c r="E9" s="18" t="n">
        <v>0</v>
      </c>
    </row>
    <row r="10">
      <c r="A10" s="16" t="n">
        <v>2021</v>
      </c>
      <c r="B10" s="29" t="n">
        <v>10.6</v>
      </c>
      <c r="C10" s="29" t="n">
        <v>7</v>
      </c>
      <c r="D10" s="29" t="inlineStr">
        <is>
          <t>ene a jul</t>
        </is>
      </c>
      <c r="E10" s="29" t="n">
        <v>0</v>
      </c>
    </row>
    <row r="11">
      <c r="A11" s="13" t="n">
        <v>2022</v>
      </c>
      <c r="B11" s="18" t="n">
        <v>23.1</v>
      </c>
      <c r="C11" s="18" t="n">
        <v>7</v>
      </c>
      <c r="D11" s="18" t="inlineStr">
        <is>
          <t>ene a jul</t>
        </is>
      </c>
      <c r="E11" s="18" t="n">
        <v>0</v>
      </c>
    </row>
    <row r="12">
      <c r="A12" s="16" t="n">
        <v>2023</v>
      </c>
      <c r="B12" s="29" t="n">
        <v>31.8</v>
      </c>
      <c r="C12" s="29" t="n">
        <v>7</v>
      </c>
      <c r="D12" s="29" t="inlineStr">
        <is>
          <t>ene a jul</t>
        </is>
      </c>
      <c r="E12" s="29" t="n">
        <v>0</v>
      </c>
    </row>
    <row r="13">
      <c r="A13" s="13" t="n">
        <v>2024</v>
      </c>
      <c r="B13" s="18" t="n">
        <v>38.5</v>
      </c>
      <c r="C13" s="18" t="n">
        <v>7</v>
      </c>
      <c r="D13" s="18" t="inlineStr">
        <is>
          <t>ene a jul</t>
        </is>
      </c>
      <c r="E13" s="18" t="n">
        <v>0</v>
      </c>
    </row>
    <row r="14">
      <c r="A14" s="16" t="n">
        <v>2025</v>
      </c>
      <c r="B14" s="29" t="n">
        <v>37.8</v>
      </c>
      <c r="C14" s="29" t="n">
        <v>7</v>
      </c>
      <c r="D14" s="29" t="inlineStr">
        <is>
          <t>ene a jul</t>
        </is>
      </c>
      <c r="E14" s="29" t="n">
        <v>0</v>
      </c>
    </row>
    <row r="15">
      <c r="A15" s="13" t="n">
        <v>2026</v>
      </c>
      <c r="B15" s="18" t="n">
        <v>9.9</v>
      </c>
      <c r="C15" s="18" t="n">
        <v>7</v>
      </c>
      <c r="D15" s="18" t="inlineStr">
        <is>
          <t>ene a jul</t>
        </is>
      </c>
      <c r="E15" s="18" t="n">
        <v>1</v>
      </c>
    </row>
    <row r="17">
      <c r="A17" s="12" t="inlineStr">
        <is>
          <t>Premium (P)</t>
        </is>
      </c>
    </row>
    <row r="18">
      <c r="A18" s="6" t="inlineStr">
        <is>
          <t>Año</t>
        </is>
      </c>
      <c r="B18" s="7" t="inlineStr">
        <is>
          <t>Sobrante</t>
        </is>
      </c>
      <c r="C18" s="7" t="inlineStr">
        <is>
          <t>Meses</t>
        </is>
      </c>
      <c r="D18" s="7" t="inlineStr">
        <is>
          <t>Rango</t>
        </is>
      </c>
      <c r="E18" s="7" t="inlineStr">
        <is>
          <t>De ellos estimados</t>
        </is>
      </c>
    </row>
    <row r="19">
      <c r="A19" s="13" t="n">
        <v>2019</v>
      </c>
      <c r="B19" s="18" t="n">
        <v>-0.8</v>
      </c>
      <c r="C19" s="18" t="n">
        <v>7</v>
      </c>
      <c r="D19" s="18" t="inlineStr">
        <is>
          <t>ene a jul</t>
        </is>
      </c>
      <c r="E19" s="18" t="n">
        <v>0</v>
      </c>
    </row>
    <row r="20">
      <c r="A20" s="16" t="n">
        <v>2020</v>
      </c>
      <c r="B20" s="29" t="n">
        <v>-1.5</v>
      </c>
      <c r="C20" s="29" t="n">
        <v>7</v>
      </c>
      <c r="D20" s="29" t="inlineStr">
        <is>
          <t>ene a jul</t>
        </is>
      </c>
      <c r="E20" s="29" t="n">
        <v>0</v>
      </c>
    </row>
    <row r="21">
      <c r="A21" s="13" t="n">
        <v>2021</v>
      </c>
      <c r="B21" s="18" t="n">
        <v>3.7</v>
      </c>
      <c r="C21" s="18" t="n">
        <v>7</v>
      </c>
      <c r="D21" s="18" t="inlineStr">
        <is>
          <t>ene a jul</t>
        </is>
      </c>
      <c r="E21" s="18" t="n">
        <v>0</v>
      </c>
    </row>
    <row r="22">
      <c r="A22" s="16" t="n">
        <v>2022</v>
      </c>
      <c r="B22" s="29" t="n">
        <v>5.1</v>
      </c>
      <c r="C22" s="29" t="n">
        <v>7</v>
      </c>
      <c r="D22" s="29" t="inlineStr">
        <is>
          <t>ene a jul</t>
        </is>
      </c>
      <c r="E22" s="29" t="n">
        <v>0</v>
      </c>
    </row>
    <row r="23">
      <c r="A23" s="13" t="n">
        <v>2023</v>
      </c>
      <c r="B23" s="18" t="n">
        <v>7.2</v>
      </c>
      <c r="C23" s="18" t="n">
        <v>7</v>
      </c>
      <c r="D23" s="18" t="inlineStr">
        <is>
          <t>ene a jul</t>
        </is>
      </c>
      <c r="E23" s="18" t="n">
        <v>0</v>
      </c>
    </row>
    <row r="24">
      <c r="A24" s="16" t="n">
        <v>2024</v>
      </c>
      <c r="B24" s="29" t="n">
        <v>10</v>
      </c>
      <c r="C24" s="29" t="n">
        <v>7</v>
      </c>
      <c r="D24" s="29" t="inlineStr">
        <is>
          <t>ene a jul</t>
        </is>
      </c>
      <c r="E24" s="29" t="n">
        <v>0</v>
      </c>
    </row>
    <row r="25">
      <c r="A25" s="13" t="n">
        <v>2025</v>
      </c>
      <c r="B25" s="18" t="n">
        <v>11.6</v>
      </c>
      <c r="C25" s="18" t="n">
        <v>7</v>
      </c>
      <c r="D25" s="18" t="inlineStr">
        <is>
          <t>ene a jul</t>
        </is>
      </c>
      <c r="E25" s="18" t="n">
        <v>0</v>
      </c>
    </row>
    <row r="26">
      <c r="A26" s="16" t="n">
        <v>2026</v>
      </c>
      <c r="B26" s="29" t="n">
        <v>3</v>
      </c>
      <c r="C26" s="29" t="n">
        <v>7</v>
      </c>
      <c r="D26" s="29" t="inlineStr">
        <is>
          <t>ene a jul</t>
        </is>
      </c>
      <c r="E26" s="29" t="n">
        <v>1</v>
      </c>
    </row>
    <row r="28">
      <c r="A28" s="12" t="inlineStr">
        <is>
          <t>Diésel (D)</t>
        </is>
      </c>
    </row>
    <row r="29">
      <c r="A29" s="6" t="inlineStr">
        <is>
          <t>Año</t>
        </is>
      </c>
      <c r="B29" s="7" t="inlineStr">
        <is>
          <t>Sobrante</t>
        </is>
      </c>
      <c r="C29" s="7" t="inlineStr">
        <is>
          <t>Meses</t>
        </is>
      </c>
      <c r="D29" s="7" t="inlineStr">
        <is>
          <t>Rango</t>
        </is>
      </c>
      <c r="E29" s="7" t="inlineStr">
        <is>
          <t>De ellos estimados</t>
        </is>
      </c>
    </row>
    <row r="30">
      <c r="A30" s="16" t="n">
        <v>2019</v>
      </c>
      <c r="B30" s="29" t="n">
        <v>16.8</v>
      </c>
      <c r="C30" s="29" t="n">
        <v>7</v>
      </c>
      <c r="D30" s="29" t="inlineStr">
        <is>
          <t>ene a jul</t>
        </is>
      </c>
      <c r="E30" s="29" t="n">
        <v>0</v>
      </c>
    </row>
    <row r="31">
      <c r="A31" s="13" t="n">
        <v>2020</v>
      </c>
      <c r="B31" s="18" t="n">
        <v>9.699999999999999</v>
      </c>
      <c r="C31" s="18" t="n">
        <v>7</v>
      </c>
      <c r="D31" s="18" t="inlineStr">
        <is>
          <t>ene a jul</t>
        </is>
      </c>
      <c r="E31" s="18" t="n">
        <v>0</v>
      </c>
    </row>
    <row r="32">
      <c r="A32" s="16" t="n">
        <v>2021</v>
      </c>
      <c r="B32" s="29" t="n">
        <v>19.3</v>
      </c>
      <c r="C32" s="29" t="n">
        <v>7</v>
      </c>
      <c r="D32" s="29" t="inlineStr">
        <is>
          <t>ene a jul</t>
        </is>
      </c>
      <c r="E32" s="29" t="n">
        <v>0</v>
      </c>
    </row>
    <row r="33">
      <c r="A33" s="13" t="n">
        <v>2022</v>
      </c>
      <c r="B33" s="18" t="n">
        <v>17.9</v>
      </c>
      <c r="C33" s="18" t="n">
        <v>7</v>
      </c>
      <c r="D33" s="18" t="inlineStr">
        <is>
          <t>ene a jul</t>
        </is>
      </c>
      <c r="E33" s="18" t="n">
        <v>0</v>
      </c>
    </row>
    <row r="34">
      <c r="A34" s="16" t="n">
        <v>2023</v>
      </c>
      <c r="B34" s="29" t="n">
        <v>17.6</v>
      </c>
      <c r="C34" s="29" t="n">
        <v>7</v>
      </c>
      <c r="D34" s="29" t="inlineStr">
        <is>
          <t>ene a jul</t>
        </is>
      </c>
      <c r="E34" s="29" t="n">
        <v>0</v>
      </c>
    </row>
    <row r="35">
      <c r="A35" s="13" t="n">
        <v>2024</v>
      </c>
      <c r="B35" s="18" t="n">
        <v>27.8</v>
      </c>
      <c r="C35" s="18" t="n">
        <v>7</v>
      </c>
      <c r="D35" s="18" t="inlineStr">
        <is>
          <t>ene a jul</t>
        </is>
      </c>
      <c r="E35" s="18" t="n">
        <v>0</v>
      </c>
    </row>
    <row r="36">
      <c r="A36" s="16" t="n">
        <v>2025</v>
      </c>
      <c r="B36" s="29" t="n">
        <v>7.1</v>
      </c>
      <c r="C36" s="29" t="n">
        <v>7</v>
      </c>
      <c r="D36" s="29" t="inlineStr">
        <is>
          <t>ene a jul</t>
        </is>
      </c>
      <c r="E36" s="29" t="n">
        <v>0</v>
      </c>
    </row>
    <row r="37">
      <c r="A37" s="13" t="n">
        <v>2026</v>
      </c>
      <c r="B37" s="18" t="n">
        <v>17.8</v>
      </c>
      <c r="C37" s="18" t="n">
        <v>7</v>
      </c>
      <c r="D37" s="18" t="inlineStr">
        <is>
          <t>ene a jul</t>
        </is>
      </c>
      <c r="E37" s="18" t="n">
        <v>1</v>
      </c>
    </row>
    <row r="39">
      <c r="A39" s="12" t="inlineStr">
        <is>
          <t>Gasolinas (R + P)</t>
        </is>
      </c>
    </row>
    <row r="40">
      <c r="A40" s="6" t="inlineStr">
        <is>
          <t>Año</t>
        </is>
      </c>
      <c r="B40" s="7" t="inlineStr">
        <is>
          <t>Sobrante</t>
        </is>
      </c>
      <c r="C40" s="7" t="inlineStr">
        <is>
          <t>Meses</t>
        </is>
      </c>
      <c r="D40" s="7" t="inlineStr">
        <is>
          <t>Rango</t>
        </is>
      </c>
      <c r="E40" s="7" t="inlineStr">
        <is>
          <t>De ellos estimados</t>
        </is>
      </c>
    </row>
    <row r="41">
      <c r="A41" s="13" t="n">
        <v>2019</v>
      </c>
      <c r="B41" s="18" t="n">
        <v>-7.5</v>
      </c>
      <c r="C41" s="18" t="n">
        <v>7</v>
      </c>
      <c r="D41" s="18" t="inlineStr">
        <is>
          <t>ene a jul</t>
        </is>
      </c>
      <c r="E41" s="18" t="n">
        <v>0</v>
      </c>
    </row>
    <row r="42">
      <c r="A42" s="16" t="n">
        <v>2020</v>
      </c>
      <c r="B42" s="29" t="n">
        <v>-2.3</v>
      </c>
      <c r="C42" s="29" t="n">
        <v>7</v>
      </c>
      <c r="D42" s="29" t="inlineStr">
        <is>
          <t>ene a jul</t>
        </is>
      </c>
      <c r="E42" s="29" t="n">
        <v>0</v>
      </c>
    </row>
    <row r="43">
      <c r="A43" s="13" t="n">
        <v>2021</v>
      </c>
      <c r="B43" s="18" t="n">
        <v>13.8</v>
      </c>
      <c r="C43" s="18" t="n">
        <v>7</v>
      </c>
      <c r="D43" s="18" t="inlineStr">
        <is>
          <t>ene a jul</t>
        </is>
      </c>
      <c r="E43" s="18" t="n">
        <v>0</v>
      </c>
    </row>
    <row r="44">
      <c r="A44" s="16" t="n">
        <v>2022</v>
      </c>
      <c r="B44" s="29" t="n">
        <v>27.8</v>
      </c>
      <c r="C44" s="29" t="n">
        <v>7</v>
      </c>
      <c r="D44" s="29" t="inlineStr">
        <is>
          <t>ene a jul</t>
        </is>
      </c>
      <c r="E44" s="29" t="n">
        <v>0</v>
      </c>
    </row>
    <row r="45">
      <c r="A45" s="13" t="n">
        <v>2023</v>
      </c>
      <c r="B45" s="18" t="n">
        <v>38.6</v>
      </c>
      <c r="C45" s="18" t="n">
        <v>7</v>
      </c>
      <c r="D45" s="18" t="inlineStr">
        <is>
          <t>ene a jul</t>
        </is>
      </c>
      <c r="E45" s="18" t="n">
        <v>0</v>
      </c>
    </row>
    <row r="46">
      <c r="A46" s="16" t="n">
        <v>2024</v>
      </c>
      <c r="B46" s="29" t="n">
        <v>48</v>
      </c>
      <c r="C46" s="29" t="n">
        <v>7</v>
      </c>
      <c r="D46" s="29" t="inlineStr">
        <is>
          <t>ene a jul</t>
        </is>
      </c>
      <c r="E46" s="29" t="n">
        <v>0</v>
      </c>
    </row>
    <row r="47">
      <c r="A47" s="13" t="n">
        <v>2025</v>
      </c>
      <c r="B47" s="18" t="n">
        <v>48.9</v>
      </c>
      <c r="C47" s="18" t="n">
        <v>7</v>
      </c>
      <c r="D47" s="18" t="inlineStr">
        <is>
          <t>ene a jul</t>
        </is>
      </c>
      <c r="E47" s="18" t="n">
        <v>0</v>
      </c>
    </row>
    <row r="48">
      <c r="A48" s="16" t="n">
        <v>2026</v>
      </c>
      <c r="B48" s="29" t="n">
        <v>12.6</v>
      </c>
      <c r="C48" s="29" t="n">
        <v>7</v>
      </c>
      <c r="D48" s="29" t="inlineStr">
        <is>
          <t>ene a jul</t>
        </is>
      </c>
      <c r="E48" s="29" t="n">
        <v>1</v>
      </c>
    </row>
    <row r="50">
      <c r="A50" s="12" t="inlineStr">
        <is>
          <t>Todos (R + P + D)</t>
        </is>
      </c>
    </row>
    <row r="51">
      <c r="A51" s="6" t="inlineStr">
        <is>
          <t>Año</t>
        </is>
      </c>
      <c r="B51" s="7" t="inlineStr">
        <is>
          <t>Sobrante</t>
        </is>
      </c>
      <c r="C51" s="7" t="inlineStr">
        <is>
          <t>Meses</t>
        </is>
      </c>
      <c r="D51" s="7" t="inlineStr">
        <is>
          <t>Rango</t>
        </is>
      </c>
      <c r="E51" s="7" t="inlineStr">
        <is>
          <t>De ellos estimados</t>
        </is>
      </c>
    </row>
    <row r="52">
      <c r="A52" s="16" t="n">
        <v>2019</v>
      </c>
      <c r="B52" s="29" t="n">
        <v>9.300000000000001</v>
      </c>
      <c r="C52" s="29" t="n">
        <v>7</v>
      </c>
      <c r="D52" s="29" t="inlineStr">
        <is>
          <t>ene a jul</t>
        </is>
      </c>
      <c r="E52" s="29" t="n">
        <v>0</v>
      </c>
    </row>
    <row r="53">
      <c r="A53" s="13" t="n">
        <v>2020</v>
      </c>
      <c r="B53" s="18" t="n">
        <v>7.4</v>
      </c>
      <c r="C53" s="18" t="n">
        <v>7</v>
      </c>
      <c r="D53" s="18" t="inlineStr">
        <is>
          <t>ene a jul</t>
        </is>
      </c>
      <c r="E53" s="18" t="n">
        <v>0</v>
      </c>
    </row>
    <row r="54">
      <c r="A54" s="16" t="n">
        <v>2021</v>
      </c>
      <c r="B54" s="29" t="n">
        <v>33.2</v>
      </c>
      <c r="C54" s="29" t="n">
        <v>7</v>
      </c>
      <c r="D54" s="29" t="inlineStr">
        <is>
          <t>ene a jul</t>
        </is>
      </c>
      <c r="E54" s="29" t="n">
        <v>0</v>
      </c>
    </row>
    <row r="55">
      <c r="A55" s="13" t="n">
        <v>2022</v>
      </c>
      <c r="B55" s="18" t="n">
        <v>45.7</v>
      </c>
      <c r="C55" s="18" t="n">
        <v>7</v>
      </c>
      <c r="D55" s="18" t="inlineStr">
        <is>
          <t>ene a jul</t>
        </is>
      </c>
      <c r="E55" s="18" t="n">
        <v>0</v>
      </c>
    </row>
    <row r="56">
      <c r="A56" s="16" t="n">
        <v>2023</v>
      </c>
      <c r="B56" s="29" t="n">
        <v>56.1</v>
      </c>
      <c r="C56" s="29" t="n">
        <v>7</v>
      </c>
      <c r="D56" s="29" t="inlineStr">
        <is>
          <t>ene a jul</t>
        </is>
      </c>
      <c r="E56" s="29" t="n">
        <v>0</v>
      </c>
    </row>
    <row r="57">
      <c r="A57" s="13" t="n">
        <v>2024</v>
      </c>
      <c r="B57" s="18" t="n">
        <v>75.8</v>
      </c>
      <c r="C57" s="18" t="n">
        <v>7</v>
      </c>
      <c r="D57" s="18" t="inlineStr">
        <is>
          <t>ene a jul</t>
        </is>
      </c>
      <c r="E57" s="18" t="n">
        <v>0</v>
      </c>
    </row>
    <row r="58">
      <c r="A58" s="16" t="n">
        <v>2025</v>
      </c>
      <c r="B58" s="29" t="n">
        <v>56</v>
      </c>
      <c r="C58" s="29" t="n">
        <v>7</v>
      </c>
      <c r="D58" s="29" t="inlineStr">
        <is>
          <t>ene a jul</t>
        </is>
      </c>
      <c r="E58" s="29" t="n">
        <v>0</v>
      </c>
    </row>
    <row r="59">
      <c r="A59" s="13" t="n">
        <v>2026</v>
      </c>
      <c r="B59" s="18" t="n">
        <v>30.4</v>
      </c>
      <c r="C59" s="18" t="n">
        <v>7</v>
      </c>
      <c r="D59" s="18" t="inlineStr">
        <is>
          <t>ene a jul</t>
        </is>
      </c>
      <c r="E59" s="18" t="n">
        <v>1</v>
      </c>
    </row>
    <row r="61">
      <c r="A61" s="2" t="inlineStr">
        <is>
          <t>El sobrante mezcla inventarios, mermas de proceso, robo y producto colocado fuera del canal reportado. Su nivel no mide el mercado ilícito; su cambio es la señal.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Qué movió la recaudación, producto por producto</t>
        </is>
      </c>
    </row>
    <row r="2">
      <c r="A2" s="2" t="inlineStr">
        <is>
          <t>Miles de millones de pesos al mes · promedio de abr a jul de 2026 contra el de ene-2025 a mar-2026</t>
        </is>
      </c>
    </row>
    <row r="4">
      <c r="A4" s="2" t="inlineStr">
        <is>
          <t>Primero la reconciliación entre lo observado y lo calculado; después la mecánica por producto. Descomposición de Laspeyres: volumen = Δlitros × cuota previa; cuota = litros previos × Δcuota; cruce = Δlitros × Δcuota.</t>
        </is>
      </c>
    </row>
    <row r="6">
      <c r="A6" s="6" t="inlineStr">
        <is>
          <t>Serie</t>
        </is>
      </c>
      <c r="B6" s="7" t="inlineStr">
        <is>
          <t>Periodo previo</t>
        </is>
      </c>
      <c r="C6" s="7" t="inlineStr">
        <is>
          <t>Periodo reciente</t>
        </is>
      </c>
      <c r="D6" s="7" t="inlineStr">
        <is>
          <t>Cambio</t>
        </is>
      </c>
      <c r="E6" s="7" t="inlineStr">
        <is>
          <t>Variación %</t>
        </is>
      </c>
    </row>
    <row r="7">
      <c r="A7" s="13" t="inlineStr">
        <is>
          <t>Recaudación observada (federal más estatal)</t>
        </is>
      </c>
      <c r="B7" s="11" t="n">
        <v>37.32</v>
      </c>
      <c r="C7" s="11" t="n">
        <v>34.03</v>
      </c>
      <c r="D7" s="11" t="n">
        <v>-3.29</v>
      </c>
      <c r="E7" s="11" t="n">
        <v>-8.800000000000001</v>
      </c>
    </row>
    <row r="8">
      <c r="A8" s="16" t="inlineStr">
        <is>
          <t>Cálculo de cuota por litros</t>
        </is>
      </c>
      <c r="B8" s="9" t="n">
        <v>36.82</v>
      </c>
      <c r="C8" s="9" t="n">
        <v>27.74</v>
      </c>
      <c r="D8" s="9" t="n">
        <v>-9.08</v>
      </c>
      <c r="E8" s="9" t="n">
        <v>-24.7</v>
      </c>
    </row>
    <row r="9">
      <c r="A9" s="13" t="inlineStr">
        <is>
          <t>Razón entre observado y calculado</t>
        </is>
      </c>
      <c r="B9" s="11" t="n">
        <v>1.0137</v>
      </c>
      <c r="C9" s="11" t="n">
        <v>1.2269</v>
      </c>
      <c r="D9" s="11" t="n">
        <v>0.2132</v>
      </c>
      <c r="E9" s="11" t="n"/>
    </row>
    <row r="11">
      <c r="A11" s="2" t="inlineStr">
        <is>
          <t>Descomposición del cambio OBSERVADO. Las cuatro primeras piezas suman exactamente la última, sin residuo.</t>
        </is>
      </c>
    </row>
    <row r="12">
      <c r="A12" s="6" t="inlineStr">
        <is>
          <t>Pieza</t>
        </is>
      </c>
      <c r="B12" s="7" t="inlineStr">
        <is>
          <t>Aporte</t>
        </is>
      </c>
      <c r="D12" s="6" t="inlineStr">
        <is>
          <t>Suma de control</t>
        </is>
      </c>
    </row>
    <row r="13">
      <c r="A13" s="13" t="inlineStr">
        <is>
          <t>Volumen</t>
        </is>
      </c>
      <c r="B13" s="11" t="n">
        <v>3.15</v>
      </c>
    </row>
    <row r="14">
      <c r="A14" s="16" t="inlineStr">
        <is>
          <t>Cuota neta</t>
        </is>
      </c>
      <c r="B14" s="9" t="n">
        <v>-11.15</v>
      </c>
    </row>
    <row r="15">
      <c r="A15" s="13" t="inlineStr">
        <is>
          <t>Cruce</t>
        </is>
      </c>
      <c r="B15" s="11" t="n">
        <v>-1.21</v>
      </c>
    </row>
    <row r="16">
      <c r="A16" s="16" t="inlineStr">
        <is>
          <t>Lo que el cálculo no captura</t>
        </is>
      </c>
      <c r="B16" s="9" t="n">
        <v>5.92</v>
      </c>
      <c r="D16" s="31">
        <f>SUM(B13:B16)</f>
        <v/>
      </c>
    </row>
    <row r="17">
      <c r="A17" s="13" t="inlineStr">
        <is>
          <t>Cambio observado</t>
        </is>
      </c>
      <c r="B17" s="11" t="n">
        <v>-3.29</v>
      </c>
    </row>
    <row r="19">
      <c r="A19" s="2" t="inlineStr">
        <is>
          <t>De aquí en adelante, todo descompone el CÁLCULO, no lo observado. Sirve para ver la mecánica por combustible.</t>
        </is>
      </c>
    </row>
    <row r="20">
      <c r="A20" s="6" t="inlineStr">
        <is>
          <t>Producto</t>
        </is>
      </c>
      <c r="B20" s="7" t="inlineStr">
        <is>
          <t>Litros previo (miles de millones)</t>
        </is>
      </c>
      <c r="C20" s="7" t="inlineStr">
        <is>
          <t>Litros reciente</t>
        </is>
      </c>
      <c r="D20" s="7" t="inlineStr">
        <is>
          <t>Var. volumen %</t>
        </is>
      </c>
      <c r="E20" s="7" t="inlineStr">
        <is>
          <t>Cuota previa $/l</t>
        </is>
      </c>
      <c r="F20" s="7" t="inlineStr">
        <is>
          <t>Cuota reciente $/l</t>
        </is>
      </c>
      <c r="G20" s="7" t="inlineStr">
        <is>
          <t>Var. cuota %</t>
        </is>
      </c>
      <c r="H20" s="7" t="inlineStr">
        <is>
          <t>Recaudación previa</t>
        </is>
      </c>
      <c r="I20" s="7" t="inlineStr">
        <is>
          <t>Recaudación reciente</t>
        </is>
      </c>
    </row>
    <row r="21">
      <c r="A21" s="13" t="inlineStr">
        <is>
          <t>Regular</t>
        </is>
      </c>
      <c r="B21" s="22" t="n">
        <v>3.054</v>
      </c>
      <c r="C21" s="22" t="n">
        <v>3.38</v>
      </c>
      <c r="D21" s="22" t="n">
        <v>10.7</v>
      </c>
      <c r="E21" s="22" t="n">
        <v>6.321</v>
      </c>
      <c r="F21" s="22" t="n">
        <v>4.881</v>
      </c>
      <c r="G21" s="22" t="n">
        <v>-22.8</v>
      </c>
      <c r="H21" s="22" t="n">
        <v>19.3</v>
      </c>
      <c r="I21" s="22" t="n">
        <v>16.5</v>
      </c>
    </row>
    <row r="22">
      <c r="A22" s="16" t="inlineStr">
        <is>
          <t>Premium</t>
        </is>
      </c>
      <c r="B22" s="32" t="n">
        <v>0.927</v>
      </c>
      <c r="C22" s="32" t="n">
        <v>0.8129999999999999</v>
      </c>
      <c r="D22" s="32" t="n">
        <v>-12.3</v>
      </c>
      <c r="E22" s="32" t="n">
        <v>5.482</v>
      </c>
      <c r="F22" s="32" t="n">
        <v>4.803</v>
      </c>
      <c r="G22" s="32" t="n">
        <v>-12.4</v>
      </c>
      <c r="H22" s="32" t="n">
        <v>5.08</v>
      </c>
      <c r="I22" s="32" t="n">
        <v>3.9</v>
      </c>
    </row>
    <row r="23">
      <c r="A23" s="13" t="inlineStr">
        <is>
          <t>Diésel</t>
        </is>
      </c>
      <c r="B23" s="22" t="n">
        <v>1.819</v>
      </c>
      <c r="C23" s="22" t="n">
        <v>2.065</v>
      </c>
      <c r="D23" s="22" t="n">
        <v>13.5</v>
      </c>
      <c r="E23" s="22" t="n">
        <v>6.832</v>
      </c>
      <c r="F23" s="22" t="n">
        <v>3.552</v>
      </c>
      <c r="G23" s="22" t="n">
        <v>-48</v>
      </c>
      <c r="H23" s="22" t="n">
        <v>12.43</v>
      </c>
      <c r="I23" s="22" t="n">
        <v>7.34</v>
      </c>
    </row>
    <row r="26">
      <c r="A26" s="6" t="inlineStr">
        <is>
          <t>Producto</t>
        </is>
      </c>
      <c r="B26" s="7" t="inlineStr">
        <is>
          <t>Efecto volumen</t>
        </is>
      </c>
      <c r="C26" s="7" t="inlineStr">
        <is>
          <t>Efecto cuota neta</t>
        </is>
      </c>
      <c r="D26" s="7" t="inlineStr">
        <is>
          <t>Cruce</t>
        </is>
      </c>
      <c r="E26" s="7" t="inlineStr">
        <is>
          <t>Cambio total</t>
        </is>
      </c>
      <c r="F26" s="6" t="inlineStr">
        <is>
          <t>Suma de las tres</t>
        </is>
      </c>
    </row>
    <row r="27">
      <c r="A27" s="13" t="inlineStr">
        <is>
          <t>Regular</t>
        </is>
      </c>
      <c r="B27" s="11" t="n">
        <v>2.06</v>
      </c>
      <c r="C27" s="11" t="n">
        <v>-4.4</v>
      </c>
      <c r="D27" s="11" t="n">
        <v>-0.47</v>
      </c>
      <c r="E27" s="11" t="n">
        <v>-2.81</v>
      </c>
      <c r="F27" s="31">
        <f>B27+C27+D27</f>
        <v/>
      </c>
    </row>
    <row r="28">
      <c r="A28" s="16" t="inlineStr">
        <is>
          <t>Premium</t>
        </is>
      </c>
      <c r="B28" s="9" t="n">
        <v>-0.63</v>
      </c>
      <c r="C28" s="9" t="n">
        <v>-0.63</v>
      </c>
      <c r="D28" s="9" t="n">
        <v>0.08</v>
      </c>
      <c r="E28" s="9" t="n">
        <v>-1.18</v>
      </c>
      <c r="F28" s="31">
        <f>B28+C28+D28</f>
        <v/>
      </c>
    </row>
    <row r="29">
      <c r="A29" s="13" t="inlineStr">
        <is>
          <t>Diésel</t>
        </is>
      </c>
      <c r="B29" s="11" t="n">
        <v>1.68</v>
      </c>
      <c r="C29" s="11" t="n">
        <v>-5.97</v>
      </c>
      <c r="D29" s="11" t="n">
        <v>-0.8</v>
      </c>
      <c r="E29" s="11" t="n">
        <v>-5.09</v>
      </c>
      <c r="F29" s="31">
        <f>B29+C29+D29</f>
        <v/>
      </c>
    </row>
    <row r="30">
      <c r="A30" s="16" t="inlineStr">
        <is>
          <t>Total</t>
        </is>
      </c>
      <c r="B30" s="9" t="n">
        <v>3.11</v>
      </c>
      <c r="C30" s="9" t="n">
        <v>-11</v>
      </c>
      <c r="D30" s="9" t="n">
        <v>-1.19</v>
      </c>
      <c r="E30" s="9" t="n">
        <v>-9.08</v>
      </c>
      <c r="F30" s="31">
        <f>B30+C30+D30</f>
        <v/>
      </c>
    </row>
    <row r="32">
      <c r="A32" s="2" t="inlineStr">
        <is>
          <t>Litros que entran a la base gravable, por agente, en miles de barriles diarios</t>
        </is>
      </c>
    </row>
    <row r="33">
      <c r="A33" s="6" t="inlineStr">
        <is>
          <t>Producto</t>
        </is>
      </c>
      <c r="B33" s="7" t="inlineStr">
        <is>
          <t>Pemex previo</t>
        </is>
      </c>
      <c r="C33" s="7" t="inlineStr">
        <is>
          <t>Pemex reciente</t>
        </is>
      </c>
      <c r="D33" s="7" t="inlineStr">
        <is>
          <t>Var. Pemex %</t>
        </is>
      </c>
      <c r="E33" s="7" t="inlineStr">
        <is>
          <t>Particulares previo</t>
        </is>
      </c>
      <c r="F33" s="7" t="inlineStr">
        <is>
          <t>Particulares reciente</t>
        </is>
      </c>
      <c r="G33" s="7" t="inlineStr">
        <is>
          <t>Var. particulares %</t>
        </is>
      </c>
    </row>
    <row r="34">
      <c r="A34" s="16" t="inlineStr">
        <is>
          <t>Regular</t>
        </is>
      </c>
      <c r="B34" s="29" t="n">
        <v>513.3</v>
      </c>
      <c r="C34" s="29" t="n">
        <v>606.9</v>
      </c>
      <c r="D34" s="29" t="n">
        <v>18.2</v>
      </c>
      <c r="E34" s="29" t="n">
        <v>120</v>
      </c>
      <c r="F34" s="29" t="n">
        <v>90.09999999999999</v>
      </c>
      <c r="G34" s="29" t="n">
        <v>-24.9</v>
      </c>
    </row>
    <row r="35">
      <c r="A35" s="13" t="inlineStr">
        <is>
          <t>Premium</t>
        </is>
      </c>
      <c r="B35" s="18" t="n">
        <v>155.9</v>
      </c>
      <c r="C35" s="18" t="n">
        <v>145.1</v>
      </c>
      <c r="D35" s="18" t="n">
        <v>-6.9</v>
      </c>
      <c r="E35" s="18" t="n">
        <v>36.4</v>
      </c>
      <c r="F35" s="18" t="n">
        <v>22.5</v>
      </c>
      <c r="G35" s="18" t="n">
        <v>-38.2</v>
      </c>
    </row>
    <row r="36">
      <c r="A36" s="16" t="inlineStr">
        <is>
          <t>Diésel</t>
        </is>
      </c>
      <c r="B36" s="29" t="n">
        <v>272.6</v>
      </c>
      <c r="C36" s="29" t="n">
        <v>344.2</v>
      </c>
      <c r="D36" s="29" t="n">
        <v>26.3</v>
      </c>
      <c r="E36" s="29" t="n">
        <v>104.6</v>
      </c>
      <c r="F36" s="29" t="n">
        <v>81.7</v>
      </c>
      <c r="G36" s="29" t="n">
        <v>-21.9</v>
      </c>
    </row>
    <row r="38">
      <c r="A38" s="2" t="inlineStr">
        <is>
          <t>Cuotas del periodo reciente aplicadas a los litros del periodo previo, con las cinco bases de volumen y los dos periodos previos. IEPS observado del periodo reciente: 34.03. Rango de la aportación del volumen: -0.01 a +2.35 contra ene-2025 a mar-2026 y -1.82 a +2.59 contra ene a mar de 2026.</t>
        </is>
      </c>
    </row>
    <row r="39">
      <c r="A39" s="6" t="inlineStr">
        <is>
          <t>Base de volumen</t>
        </is>
      </c>
      <c r="B39" s="7" t="inlineStr">
        <is>
          <t>Litros ene-2025 a mar-2026</t>
        </is>
      </c>
      <c r="C39" s="7" t="inlineStr">
        <is>
          <t>Litros ene a mar de 2026</t>
        </is>
      </c>
      <c r="D39" s="7" t="inlineStr">
        <is>
          <t>Litros abr a jul de 2026</t>
        </is>
      </c>
      <c r="E39" s="7" t="inlineStr">
        <is>
          <t>Volumen contra ene-2025 a mar-2026 %</t>
        </is>
      </c>
      <c r="F39" s="7" t="inlineStr">
        <is>
          <t>Aportación contra ene-2025 a mar-2026</t>
        </is>
      </c>
      <c r="G39" s="7" t="inlineStr">
        <is>
          <t>IEPS con volumen de ene-2025 a mar-2026</t>
        </is>
      </c>
      <c r="H39" s="7" t="inlineStr">
        <is>
          <t>Volumen contra ene a mar de 2026 %</t>
        </is>
      </c>
      <c r="I39" s="7" t="inlineStr">
        <is>
          <t>Aportación contra ene a mar de 2026</t>
        </is>
      </c>
      <c r="J39" s="7" t="inlineStr">
        <is>
          <t>IEPS con volumen de ene a mar de 2026</t>
        </is>
      </c>
    </row>
    <row r="40">
      <c r="A40" s="16" t="inlineStr">
        <is>
          <t>Base de la lámina</t>
        </is>
      </c>
      <c r="B40" s="32" t="n">
        <v>5.8</v>
      </c>
      <c r="C40" s="32" t="n">
        <v>5.975</v>
      </c>
      <c r="D40" s="32" t="n">
        <v>6.258</v>
      </c>
      <c r="E40" s="32" t="n">
        <v>7.9</v>
      </c>
      <c r="F40" s="32" t="n">
        <v>2.35</v>
      </c>
      <c r="G40" s="32" t="n">
        <v>31.68</v>
      </c>
      <c r="H40" s="32" t="n">
        <v>4.7</v>
      </c>
      <c r="I40" s="32" t="n">
        <v>1.35</v>
      </c>
      <c r="J40" s="32" t="n">
        <v>32.69</v>
      </c>
    </row>
    <row r="41">
      <c r="A41" s="13" t="inlineStr">
        <is>
          <t>M1 Suministro total</t>
        </is>
      </c>
      <c r="B41" s="22" t="n">
        <v>6.183</v>
      </c>
      <c r="C41" s="22" t="n">
        <v>6.55</v>
      </c>
      <c r="D41" s="22" t="n">
        <v>6.208</v>
      </c>
      <c r="E41" s="22" t="n">
        <v>0.4</v>
      </c>
      <c r="F41" s="22" t="n">
        <v>-0.01</v>
      </c>
      <c r="G41" s="22" t="n">
        <v>34.04</v>
      </c>
      <c r="H41" s="22" t="n">
        <v>-5.2</v>
      </c>
      <c r="I41" s="22" t="n">
        <v>-1.82</v>
      </c>
      <c r="J41" s="22" t="n">
        <v>35.85</v>
      </c>
    </row>
    <row r="42">
      <c r="A42" s="16" t="inlineStr">
        <is>
          <t>M2 Suministro registrado</t>
        </is>
      </c>
      <c r="B42" s="32" t="n">
        <v>5.779</v>
      </c>
      <c r="C42" s="32" t="n">
        <v>5.975</v>
      </c>
      <c r="D42" s="32" t="n">
        <v>6.218</v>
      </c>
      <c r="E42" s="32" t="n">
        <v>7.6</v>
      </c>
      <c r="F42" s="32" t="n">
        <v>2.27</v>
      </c>
      <c r="G42" s="32" t="n">
        <v>31.77</v>
      </c>
      <c r="H42" s="32" t="n">
        <v>4.1</v>
      </c>
      <c r="I42" s="32" t="n">
        <v>1.16</v>
      </c>
      <c r="J42" s="32" t="n">
        <v>32.87</v>
      </c>
    </row>
    <row r="43">
      <c r="A43" s="13" t="inlineStr">
        <is>
          <t>M3 Consumo documentado</t>
        </is>
      </c>
      <c r="B43" s="22" t="n">
        <v>5.237</v>
      </c>
      <c r="C43" s="22" t="n">
        <v>5.135</v>
      </c>
      <c r="D43" s="22" t="n">
        <v>5.574</v>
      </c>
      <c r="E43" s="22" t="n">
        <v>6.4</v>
      </c>
      <c r="F43" s="22" t="n">
        <v>1.95</v>
      </c>
      <c r="G43" s="22" t="n">
        <v>32.08</v>
      </c>
      <c r="H43" s="22" t="n">
        <v>8.5</v>
      </c>
      <c r="I43" s="22" t="n">
        <v>2.59</v>
      </c>
      <c r="J43" s="22" t="n">
        <v>31.44</v>
      </c>
    </row>
    <row r="44">
      <c r="A44" s="16" t="inlineStr">
        <is>
          <t>M4 Venta en la bomba</t>
        </is>
      </c>
      <c r="B44" s="32" t="n">
        <v>5.134</v>
      </c>
      <c r="C44" s="32" t="n">
        <v>5.034</v>
      </c>
      <c r="D44" s="32" t="n">
        <v>5.449</v>
      </c>
      <c r="E44" s="32" t="n">
        <v>6.1</v>
      </c>
      <c r="F44" s="32" t="n">
        <v>1.88</v>
      </c>
      <c r="G44" s="32" t="n">
        <v>32.16</v>
      </c>
      <c r="H44" s="32" t="n">
        <v>8.199999999999999</v>
      </c>
      <c r="I44" s="32" t="n">
        <v>2.52</v>
      </c>
      <c r="J44" s="32" t="n">
        <v>31.52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6" customWidth="1" min="7" max="7"/>
  </cols>
  <sheetData>
    <row r="1">
      <c r="A1" s="1" t="inlineStr">
        <is>
          <t>Lo que Hacienda efectivamente recaudó</t>
        </is>
      </c>
    </row>
    <row r="2">
      <c r="A2" s="2" t="inlineStr">
        <is>
          <t>Miles de millones de pesos al mes · federal y estatal suman el total; el impuesto al carbono va aparte</t>
        </is>
      </c>
    </row>
    <row r="4">
      <c r="A4" s="2" t="inlineStr">
        <is>
          <t>La cuota federal absorbe el estímulo fiscal. La estatal es fija por litro y no lo lleva, así que se mueve casi sólo con el volumen: sirve como control independiente de que el volumen creció.</t>
        </is>
      </c>
    </row>
    <row r="6">
      <c r="A6" s="6" t="inlineStr">
        <is>
          <t>Mes</t>
        </is>
      </c>
      <c r="B6" s="7" t="inlineStr">
        <is>
          <t>Federal</t>
        </is>
      </c>
      <c r="C6" s="7" t="inlineStr">
        <is>
          <t>Estatal</t>
        </is>
      </c>
      <c r="D6" s="7" t="inlineStr">
        <is>
          <t>Federal más estatal</t>
        </is>
      </c>
      <c r="E6" s="7" t="inlineStr">
        <is>
          <t>Impuesto al carbono (observado)</t>
        </is>
      </c>
      <c r="F6" s="7" t="inlineStr">
        <is>
          <t>Total con carbono (informativo)</t>
        </is>
      </c>
      <c r="G6" s="6" t="inlineStr">
        <is>
          <t>Suma de control</t>
        </is>
      </c>
    </row>
    <row r="7">
      <c r="A7" s="10" t="n">
        <v>43466</v>
      </c>
      <c r="B7" s="11" t="n">
        <v>27.246</v>
      </c>
      <c r="C7" s="11" t="n">
        <v>2.444</v>
      </c>
      <c r="D7" s="11" t="n">
        <v>29.691</v>
      </c>
      <c r="E7" s="11" t="n">
        <v>0.437</v>
      </c>
      <c r="F7" s="11" t="n">
        <v>30.128</v>
      </c>
      <c r="G7" s="31">
        <f>B7+C7</f>
        <v/>
      </c>
    </row>
    <row r="8">
      <c r="A8" s="8" t="n">
        <v>43497</v>
      </c>
      <c r="B8" s="9" t="n">
        <v>19.961</v>
      </c>
      <c r="C8" s="9" t="n">
        <v>2.062</v>
      </c>
      <c r="D8" s="9" t="n">
        <v>22.023</v>
      </c>
      <c r="E8" s="9" t="n">
        <v>0.335</v>
      </c>
      <c r="F8" s="9" t="n">
        <v>22.358</v>
      </c>
      <c r="G8" s="31">
        <f>B8+C8</f>
        <v/>
      </c>
    </row>
    <row r="9">
      <c r="A9" s="10" t="n">
        <v>43525</v>
      </c>
      <c r="B9" s="11" t="n">
        <v>23.504</v>
      </c>
      <c r="C9" s="11" t="n">
        <v>2.165</v>
      </c>
      <c r="D9" s="11" t="n">
        <v>25.668</v>
      </c>
      <c r="E9" s="11" t="n">
        <v>0.393</v>
      </c>
      <c r="F9" s="11" t="n">
        <v>26.061</v>
      </c>
      <c r="G9" s="31">
        <f>B9+C9</f>
        <v/>
      </c>
    </row>
    <row r="10">
      <c r="A10" s="8" t="n">
        <v>43556</v>
      </c>
      <c r="B10" s="9" t="n">
        <v>20.652</v>
      </c>
      <c r="C10" s="9" t="n">
        <v>2.416</v>
      </c>
      <c r="D10" s="9" t="n">
        <v>23.068</v>
      </c>
      <c r="E10" s="9" t="n">
        <v>0.412</v>
      </c>
      <c r="F10" s="9" t="n">
        <v>23.481</v>
      </c>
      <c r="G10" s="31">
        <f>B10+C10</f>
        <v/>
      </c>
    </row>
    <row r="11">
      <c r="A11" s="10" t="n">
        <v>43586</v>
      </c>
      <c r="B11" s="11" t="n">
        <v>21.405</v>
      </c>
      <c r="C11" s="11" t="n">
        <v>2.53</v>
      </c>
      <c r="D11" s="11" t="n">
        <v>23.934</v>
      </c>
      <c r="E11" s="11" t="n">
        <v>0.52</v>
      </c>
      <c r="F11" s="11" t="n">
        <v>24.455</v>
      </c>
      <c r="G11" s="31">
        <f>B11+C11</f>
        <v/>
      </c>
    </row>
    <row r="12">
      <c r="A12" s="8" t="n">
        <v>43617</v>
      </c>
      <c r="B12" s="9" t="n">
        <v>20.989</v>
      </c>
      <c r="C12" s="9" t="n">
        <v>2.499</v>
      </c>
      <c r="D12" s="9" t="n">
        <v>23.488</v>
      </c>
      <c r="E12" s="9" t="n">
        <v>0.448</v>
      </c>
      <c r="F12" s="9" t="n">
        <v>23.936</v>
      </c>
      <c r="G12" s="31">
        <f>B12+C12</f>
        <v/>
      </c>
    </row>
    <row r="13">
      <c r="A13" s="10" t="n">
        <v>43647</v>
      </c>
      <c r="B13" s="11" t="n">
        <v>20.283</v>
      </c>
      <c r="C13" s="11" t="n">
        <v>2.28</v>
      </c>
      <c r="D13" s="11" t="n">
        <v>22.563</v>
      </c>
      <c r="E13" s="11" t="n">
        <v>0.411</v>
      </c>
      <c r="F13" s="11" t="n">
        <v>22.974</v>
      </c>
      <c r="G13" s="31">
        <f>B13+C13</f>
        <v/>
      </c>
    </row>
    <row r="14">
      <c r="A14" s="8" t="n">
        <v>43678</v>
      </c>
      <c r="B14" s="9" t="n">
        <v>23.396</v>
      </c>
      <c r="C14" s="9" t="n">
        <v>2.339</v>
      </c>
      <c r="D14" s="9" t="n">
        <v>25.735</v>
      </c>
      <c r="E14" s="9" t="n">
        <v>0.522</v>
      </c>
      <c r="F14" s="9" t="n">
        <v>26.257</v>
      </c>
      <c r="G14" s="31">
        <f>B14+C14</f>
        <v/>
      </c>
    </row>
    <row r="15">
      <c r="A15" s="10" t="n">
        <v>43709</v>
      </c>
      <c r="B15" s="11" t="n">
        <v>19.756</v>
      </c>
      <c r="C15" s="11" t="n">
        <v>3.017</v>
      </c>
      <c r="D15" s="11" t="n">
        <v>22.773</v>
      </c>
      <c r="E15" s="11" t="n">
        <v>0.435</v>
      </c>
      <c r="F15" s="11" t="n">
        <v>23.208</v>
      </c>
      <c r="G15" s="31">
        <f>B15+C15</f>
        <v/>
      </c>
    </row>
    <row r="16">
      <c r="A16" s="8" t="n">
        <v>43739</v>
      </c>
      <c r="B16" s="9" t="n">
        <v>25.332</v>
      </c>
      <c r="C16" s="9" t="n">
        <v>2.265</v>
      </c>
      <c r="D16" s="9" t="n">
        <v>27.596</v>
      </c>
      <c r="E16" s="9" t="n">
        <v>0.576</v>
      </c>
      <c r="F16" s="9" t="n">
        <v>28.172</v>
      </c>
      <c r="G16" s="31">
        <f>B16+C16</f>
        <v/>
      </c>
    </row>
    <row r="17">
      <c r="A17" s="10" t="n">
        <v>43770</v>
      </c>
      <c r="B17" s="11" t="n">
        <v>22.209</v>
      </c>
      <c r="C17" s="11" t="n">
        <v>2.348</v>
      </c>
      <c r="D17" s="11" t="n">
        <v>24.557</v>
      </c>
      <c r="E17" s="11" t="n">
        <v>0.326</v>
      </c>
      <c r="F17" s="11" t="n">
        <v>24.883</v>
      </c>
      <c r="G17" s="31">
        <f>B17+C17</f>
        <v/>
      </c>
    </row>
    <row r="18">
      <c r="A18" s="8" t="n">
        <v>43800</v>
      </c>
      <c r="B18" s="9" t="n">
        <v>24.191</v>
      </c>
      <c r="C18" s="9" t="n">
        <v>2.19</v>
      </c>
      <c r="D18" s="9" t="n">
        <v>26.381</v>
      </c>
      <c r="E18" s="9" t="n">
        <v>0.337</v>
      </c>
      <c r="F18" s="9" t="n">
        <v>26.718</v>
      </c>
      <c r="G18" s="31">
        <f>B18+C18</f>
        <v/>
      </c>
    </row>
    <row r="19">
      <c r="A19" s="10" t="n">
        <v>43831</v>
      </c>
      <c r="B19" s="11" t="n">
        <v>27.081</v>
      </c>
      <c r="C19" s="11" t="n">
        <v>2.35</v>
      </c>
      <c r="D19" s="11" t="n">
        <v>29.43</v>
      </c>
      <c r="E19" s="11" t="n">
        <v>0.6840000000000001</v>
      </c>
      <c r="F19" s="11" t="n">
        <v>30.114</v>
      </c>
      <c r="G19" s="31">
        <f>B19+C19</f>
        <v/>
      </c>
    </row>
    <row r="20">
      <c r="A20" s="8" t="n">
        <v>43862</v>
      </c>
      <c r="B20" s="9" t="n">
        <v>21.899</v>
      </c>
      <c r="C20" s="9" t="n">
        <v>2.317</v>
      </c>
      <c r="D20" s="9" t="n">
        <v>24.216</v>
      </c>
      <c r="E20" s="9" t="n">
        <v>0.313</v>
      </c>
      <c r="F20" s="9" t="n">
        <v>24.529</v>
      </c>
      <c r="G20" s="31">
        <f>B20+C20</f>
        <v/>
      </c>
    </row>
    <row r="21">
      <c r="A21" s="10" t="n">
        <v>43891</v>
      </c>
      <c r="B21" s="11" t="n">
        <v>26.144</v>
      </c>
      <c r="C21" s="11" t="n">
        <v>2.165</v>
      </c>
      <c r="D21" s="11" t="n">
        <v>28.309</v>
      </c>
      <c r="E21" s="11" t="n">
        <v>0.376</v>
      </c>
      <c r="F21" s="11" t="n">
        <v>28.685</v>
      </c>
      <c r="G21" s="31">
        <f>B21+C21</f>
        <v/>
      </c>
    </row>
    <row r="22">
      <c r="A22" s="8" t="n">
        <v>43922</v>
      </c>
      <c r="B22" s="9" t="n">
        <v>22.393</v>
      </c>
      <c r="C22" s="9" t="n">
        <v>2.275</v>
      </c>
      <c r="D22" s="9" t="n">
        <v>24.668</v>
      </c>
      <c r="E22" s="9" t="n">
        <v>0.375</v>
      </c>
      <c r="F22" s="9" t="n">
        <v>25.043</v>
      </c>
      <c r="G22" s="31">
        <f>B22+C22</f>
        <v/>
      </c>
    </row>
    <row r="23">
      <c r="A23" s="10" t="n">
        <v>43952</v>
      </c>
      <c r="B23" s="11" t="n">
        <v>16.077</v>
      </c>
      <c r="C23" s="11" t="n">
        <v>1.904</v>
      </c>
      <c r="D23" s="11" t="n">
        <v>17.981</v>
      </c>
      <c r="E23" s="11" t="n">
        <v>0.362</v>
      </c>
      <c r="F23" s="11" t="n">
        <v>18.343</v>
      </c>
      <c r="G23" s="31">
        <f>B23+C23</f>
        <v/>
      </c>
    </row>
    <row r="24">
      <c r="A24" s="8" t="n">
        <v>43983</v>
      </c>
      <c r="B24" s="9" t="n">
        <v>20.048</v>
      </c>
      <c r="C24" s="9" t="n">
        <v>1.595</v>
      </c>
      <c r="D24" s="9" t="n">
        <v>21.643</v>
      </c>
      <c r="E24" s="9" t="n">
        <v>0.445</v>
      </c>
      <c r="F24" s="9" t="n">
        <v>22.088</v>
      </c>
      <c r="G24" s="31">
        <f>B24+C24</f>
        <v/>
      </c>
    </row>
    <row r="25">
      <c r="A25" s="10" t="n">
        <v>44013</v>
      </c>
      <c r="B25" s="11" t="n">
        <v>24.064</v>
      </c>
      <c r="C25" s="11" t="n">
        <v>2.089</v>
      </c>
      <c r="D25" s="11" t="n">
        <v>26.154</v>
      </c>
      <c r="E25" s="11" t="n">
        <v>0.439</v>
      </c>
      <c r="F25" s="11" t="n">
        <v>26.593</v>
      </c>
      <c r="G25" s="31">
        <f>B25+C25</f>
        <v/>
      </c>
    </row>
    <row r="26">
      <c r="A26" s="8" t="n">
        <v>44044</v>
      </c>
      <c r="B26" s="9" t="n">
        <v>22.941</v>
      </c>
      <c r="C26" s="9" t="n">
        <v>2.177</v>
      </c>
      <c r="D26" s="9" t="n">
        <v>25.118</v>
      </c>
      <c r="E26" s="9" t="n">
        <v>0.199</v>
      </c>
      <c r="F26" s="9" t="n">
        <v>25.316</v>
      </c>
      <c r="G26" s="31">
        <f>B26+C26</f>
        <v/>
      </c>
    </row>
    <row r="27">
      <c r="A27" s="10" t="n">
        <v>44075</v>
      </c>
      <c r="B27" s="11" t="n">
        <v>22.63</v>
      </c>
      <c r="C27" s="11" t="n">
        <v>2.793</v>
      </c>
      <c r="D27" s="11" t="n">
        <v>25.423</v>
      </c>
      <c r="E27" s="11" t="n">
        <v>0.35</v>
      </c>
      <c r="F27" s="11" t="n">
        <v>25.773</v>
      </c>
      <c r="G27" s="31">
        <f>B27+C27</f>
        <v/>
      </c>
    </row>
    <row r="28">
      <c r="A28" s="8" t="n">
        <v>44105</v>
      </c>
      <c r="B28" s="9" t="n">
        <v>22.35</v>
      </c>
      <c r="C28" s="9" t="n">
        <v>1.982</v>
      </c>
      <c r="D28" s="9" t="n">
        <v>24.332</v>
      </c>
      <c r="E28" s="9" t="n">
        <v>0.337</v>
      </c>
      <c r="F28" s="9" t="n">
        <v>24.669</v>
      </c>
      <c r="G28" s="31">
        <f>B28+C28</f>
        <v/>
      </c>
    </row>
    <row r="29">
      <c r="A29" s="10" t="n">
        <v>44136</v>
      </c>
      <c r="B29" s="11" t="n">
        <v>23.063</v>
      </c>
      <c r="C29" s="11" t="n">
        <v>2.199</v>
      </c>
      <c r="D29" s="11" t="n">
        <v>25.262</v>
      </c>
      <c r="E29" s="11" t="n">
        <v>0.448</v>
      </c>
      <c r="F29" s="11" t="n">
        <v>25.71</v>
      </c>
      <c r="G29" s="31">
        <f>B29+C29</f>
        <v/>
      </c>
    </row>
    <row r="30">
      <c r="A30" s="8" t="n">
        <v>44166</v>
      </c>
      <c r="B30" s="9" t="n">
        <v>24.921</v>
      </c>
      <c r="C30" s="9" t="n">
        <v>2.141</v>
      </c>
      <c r="D30" s="9" t="n">
        <v>27.063</v>
      </c>
      <c r="E30" s="9" t="n">
        <v>0.371</v>
      </c>
      <c r="F30" s="9" t="n">
        <v>27.434</v>
      </c>
      <c r="G30" s="31">
        <f>B30+C30</f>
        <v/>
      </c>
    </row>
    <row r="31">
      <c r="A31" s="10" t="n">
        <v>44197</v>
      </c>
      <c r="B31" s="11" t="n">
        <v>21.83</v>
      </c>
      <c r="C31" s="11" t="n">
        <v>2.354</v>
      </c>
      <c r="D31" s="11" t="n">
        <v>24.184</v>
      </c>
      <c r="E31" s="11" t="n">
        <v>0.49</v>
      </c>
      <c r="F31" s="11" t="n">
        <v>24.674</v>
      </c>
      <c r="G31" s="31">
        <f>B31+C31</f>
        <v/>
      </c>
    </row>
    <row r="32">
      <c r="A32" s="8" t="n">
        <v>44228</v>
      </c>
      <c r="B32" s="9" t="n">
        <v>18.349</v>
      </c>
      <c r="C32" s="9" t="n">
        <v>2.039</v>
      </c>
      <c r="D32" s="9" t="n">
        <v>20.388</v>
      </c>
      <c r="E32" s="9" t="n">
        <v>0.505</v>
      </c>
      <c r="F32" s="9" t="n">
        <v>20.893</v>
      </c>
      <c r="G32" s="31">
        <f>B32+C32</f>
        <v/>
      </c>
    </row>
    <row r="33">
      <c r="A33" s="10" t="n">
        <v>44256</v>
      </c>
      <c r="B33" s="11" t="n">
        <v>19.616</v>
      </c>
      <c r="C33" s="11" t="n">
        <v>1.917</v>
      </c>
      <c r="D33" s="11" t="n">
        <v>21.533</v>
      </c>
      <c r="E33" s="11" t="n">
        <v>0.513</v>
      </c>
      <c r="F33" s="11" t="n">
        <v>22.045</v>
      </c>
      <c r="G33" s="31">
        <f>B33+C33</f>
        <v/>
      </c>
    </row>
    <row r="34">
      <c r="A34" s="8" t="n">
        <v>44287</v>
      </c>
      <c r="B34" s="9" t="n">
        <v>22.86</v>
      </c>
      <c r="C34" s="9" t="n">
        <v>2.373</v>
      </c>
      <c r="D34" s="9" t="n">
        <v>25.233</v>
      </c>
      <c r="E34" s="9" t="n">
        <v>0.782</v>
      </c>
      <c r="F34" s="9" t="n">
        <v>26.014</v>
      </c>
      <c r="G34" s="31">
        <f>B34+C34</f>
        <v/>
      </c>
    </row>
    <row r="35">
      <c r="A35" s="10" t="n">
        <v>44317</v>
      </c>
      <c r="B35" s="11" t="n">
        <v>19.556</v>
      </c>
      <c r="C35" s="11" t="n">
        <v>2.147</v>
      </c>
      <c r="D35" s="11" t="n">
        <v>21.703</v>
      </c>
      <c r="E35" s="11" t="n">
        <v>0.287</v>
      </c>
      <c r="F35" s="11" t="n">
        <v>21.99</v>
      </c>
      <c r="G35" s="31">
        <f>B35+C35</f>
        <v/>
      </c>
    </row>
    <row r="36">
      <c r="A36" s="8" t="n">
        <v>44348</v>
      </c>
      <c r="B36" s="9" t="n">
        <v>19.243</v>
      </c>
      <c r="C36" s="9" t="n">
        <v>2.315</v>
      </c>
      <c r="D36" s="9" t="n">
        <v>21.558</v>
      </c>
      <c r="E36" s="9" t="n">
        <v>0.386</v>
      </c>
      <c r="F36" s="9" t="n">
        <v>21.944</v>
      </c>
      <c r="G36" s="31">
        <f>B36+C36</f>
        <v/>
      </c>
    </row>
    <row r="37">
      <c r="A37" s="10" t="n">
        <v>44378</v>
      </c>
      <c r="B37" s="11" t="n">
        <v>15.738</v>
      </c>
      <c r="C37" s="11" t="n">
        <v>2.378</v>
      </c>
      <c r="D37" s="11" t="n">
        <v>18.116</v>
      </c>
      <c r="E37" s="11" t="n">
        <v>0.398</v>
      </c>
      <c r="F37" s="11" t="n">
        <v>18.514</v>
      </c>
      <c r="G37" s="31">
        <f>B37+C37</f>
        <v/>
      </c>
    </row>
    <row r="38">
      <c r="A38" s="8" t="n">
        <v>44409</v>
      </c>
      <c r="B38" s="9" t="n">
        <v>14.513</v>
      </c>
      <c r="C38" s="9" t="n">
        <v>2.383</v>
      </c>
      <c r="D38" s="9" t="n">
        <v>16.896</v>
      </c>
      <c r="E38" s="9" t="n">
        <v>0.431</v>
      </c>
      <c r="F38" s="9" t="n">
        <v>17.327</v>
      </c>
      <c r="G38" s="31">
        <f>B38+C38</f>
        <v/>
      </c>
    </row>
    <row r="39">
      <c r="A39" s="10" t="n">
        <v>44440</v>
      </c>
      <c r="B39" s="11" t="n">
        <v>13.565</v>
      </c>
      <c r="C39" s="11" t="n">
        <v>2.242</v>
      </c>
      <c r="D39" s="11" t="n">
        <v>15.807</v>
      </c>
      <c r="E39" s="11" t="n">
        <v>0.658</v>
      </c>
      <c r="F39" s="11" t="n">
        <v>16.465</v>
      </c>
      <c r="G39" s="31">
        <f>B39+C39</f>
        <v/>
      </c>
    </row>
    <row r="40">
      <c r="A40" s="8" t="n">
        <v>44470</v>
      </c>
      <c r="B40" s="9" t="n">
        <v>8.753</v>
      </c>
      <c r="C40" s="9" t="n">
        <v>2.324</v>
      </c>
      <c r="D40" s="9" t="n">
        <v>11.077</v>
      </c>
      <c r="E40" s="9" t="n">
        <v>0.64</v>
      </c>
      <c r="F40" s="9" t="n">
        <v>11.718</v>
      </c>
      <c r="G40" s="31">
        <f>B40+C40</f>
        <v/>
      </c>
    </row>
    <row r="41">
      <c r="A41" s="10" t="n">
        <v>44501</v>
      </c>
      <c r="B41" s="11" t="n">
        <v>9.550000000000001</v>
      </c>
      <c r="C41" s="11" t="n">
        <v>2.278</v>
      </c>
      <c r="D41" s="11" t="n">
        <v>11.828</v>
      </c>
      <c r="E41" s="11" t="n">
        <v>0.585</v>
      </c>
      <c r="F41" s="11" t="n">
        <v>12.413</v>
      </c>
      <c r="G41" s="31">
        <f>B41+C41</f>
        <v/>
      </c>
    </row>
    <row r="42">
      <c r="A42" s="8" t="n">
        <v>44531</v>
      </c>
      <c r="B42" s="9" t="n">
        <v>12.241</v>
      </c>
      <c r="C42" s="9" t="n">
        <v>2.332</v>
      </c>
      <c r="D42" s="9" t="n">
        <v>14.572</v>
      </c>
      <c r="E42" s="9" t="n">
        <v>0.5649999999999999</v>
      </c>
      <c r="F42" s="9" t="n">
        <v>15.137</v>
      </c>
      <c r="G42" s="31">
        <f>B42+C42</f>
        <v/>
      </c>
    </row>
    <row r="43">
      <c r="A43" s="10" t="n">
        <v>44562</v>
      </c>
      <c r="B43" s="11" t="n">
        <v>8.765000000000001</v>
      </c>
      <c r="C43" s="11" t="n">
        <v>2.55</v>
      </c>
      <c r="D43" s="11" t="n">
        <v>11.316</v>
      </c>
      <c r="E43" s="11" t="n">
        <v>0.487</v>
      </c>
      <c r="F43" s="11" t="n">
        <v>11.803</v>
      </c>
      <c r="G43" s="31">
        <f>B43+C43</f>
        <v/>
      </c>
    </row>
    <row r="44">
      <c r="A44" s="8" t="n">
        <v>44593</v>
      </c>
      <c r="B44" s="9" t="n">
        <v>5.371</v>
      </c>
      <c r="C44" s="9" t="n">
        <v>2.169</v>
      </c>
      <c r="D44" s="9" t="n">
        <v>7.54</v>
      </c>
      <c r="E44" s="9" t="n">
        <v>0.44</v>
      </c>
      <c r="F44" s="9" t="n">
        <v>7.98</v>
      </c>
      <c r="G44" s="31">
        <f>B44+C44</f>
        <v/>
      </c>
    </row>
    <row r="45">
      <c r="A45" s="10" t="n">
        <v>44621</v>
      </c>
      <c r="B45" s="11" t="n">
        <v>-0.285</v>
      </c>
      <c r="C45" s="11" t="n">
        <v>2.213</v>
      </c>
      <c r="D45" s="11" t="n">
        <v>1.928</v>
      </c>
      <c r="E45" s="11" t="n">
        <v>0.591</v>
      </c>
      <c r="F45" s="11" t="n">
        <v>2.519</v>
      </c>
      <c r="G45" s="31">
        <f>B45+C45</f>
        <v/>
      </c>
    </row>
    <row r="46">
      <c r="A46" s="8" t="n">
        <v>44652</v>
      </c>
      <c r="B46" s="9" t="n">
        <v>-1.056</v>
      </c>
      <c r="C46" s="9" t="n">
        <v>0.513</v>
      </c>
      <c r="D46" s="9" t="n">
        <v>-0.543</v>
      </c>
      <c r="E46" s="9" t="n">
        <v>0.095</v>
      </c>
      <c r="F46" s="9" t="n">
        <v>-0.448</v>
      </c>
      <c r="G46" s="31">
        <f>B46+C46</f>
        <v/>
      </c>
    </row>
    <row r="47">
      <c r="A47" s="10" t="n">
        <v>44682</v>
      </c>
      <c r="B47" s="11" t="n">
        <v>-12.155</v>
      </c>
      <c r="C47" s="11" t="n">
        <v>1.342</v>
      </c>
      <c r="D47" s="11" t="n">
        <v>-10.813</v>
      </c>
      <c r="E47" s="11" t="n">
        <v>0.108</v>
      </c>
      <c r="F47" s="11" t="n">
        <v>-10.704</v>
      </c>
      <c r="G47" s="31">
        <f>B47+C47</f>
        <v/>
      </c>
    </row>
    <row r="48">
      <c r="A48" s="8" t="n">
        <v>44713</v>
      </c>
      <c r="B48" s="9" t="n">
        <v>-34.308</v>
      </c>
      <c r="C48" s="9" t="n">
        <v>2.824</v>
      </c>
      <c r="D48" s="9" t="n">
        <v>-31.484</v>
      </c>
      <c r="E48" s="9" t="n">
        <v>0.097</v>
      </c>
      <c r="F48" s="9" t="n">
        <v>-31.387</v>
      </c>
      <c r="G48" s="31">
        <f>B48+C48</f>
        <v/>
      </c>
    </row>
    <row r="49">
      <c r="A49" s="10" t="n">
        <v>44743</v>
      </c>
      <c r="B49" s="11" t="n">
        <v>-37.654</v>
      </c>
      <c r="C49" s="11" t="n">
        <v>2.898</v>
      </c>
      <c r="D49" s="11" t="n">
        <v>-34.756</v>
      </c>
      <c r="E49" s="11" t="n">
        <v>0.102</v>
      </c>
      <c r="F49" s="11" t="n">
        <v>-34.654</v>
      </c>
      <c r="G49" s="31">
        <f>B49+C49</f>
        <v/>
      </c>
    </row>
    <row r="50">
      <c r="A50" s="8" t="n">
        <v>44774</v>
      </c>
      <c r="B50" s="9" t="n">
        <v>-30.583</v>
      </c>
      <c r="C50" s="9" t="n">
        <v>2.943</v>
      </c>
      <c r="D50" s="9" t="n">
        <v>-27.64</v>
      </c>
      <c r="E50" s="9" t="n">
        <v>0.11</v>
      </c>
      <c r="F50" s="9" t="n">
        <v>-27.529</v>
      </c>
      <c r="G50" s="31">
        <f>B50+C50</f>
        <v/>
      </c>
    </row>
    <row r="51">
      <c r="A51" s="10" t="n">
        <v>44805</v>
      </c>
      <c r="B51" s="11" t="n">
        <v>-4.167</v>
      </c>
      <c r="C51" s="11" t="n">
        <v>2.91</v>
      </c>
      <c r="D51" s="11" t="n">
        <v>-1.258</v>
      </c>
      <c r="E51" s="11" t="n">
        <v>0.219</v>
      </c>
      <c r="F51" s="11" t="n">
        <v>-1.039</v>
      </c>
      <c r="G51" s="31">
        <f>B51+C51</f>
        <v/>
      </c>
    </row>
    <row r="52">
      <c r="A52" s="8" t="n">
        <v>44835</v>
      </c>
      <c r="B52" s="9" t="n">
        <v>-5.745</v>
      </c>
      <c r="C52" s="9" t="n">
        <v>2.867</v>
      </c>
      <c r="D52" s="9" t="n">
        <v>-2.879</v>
      </c>
      <c r="E52" s="9" t="n">
        <v>0.515</v>
      </c>
      <c r="F52" s="9" t="n">
        <v>-2.364</v>
      </c>
      <c r="G52" s="31">
        <f>B52+C52</f>
        <v/>
      </c>
    </row>
    <row r="53">
      <c r="A53" s="10" t="n">
        <v>44866</v>
      </c>
      <c r="B53" s="11" t="n">
        <v>-0.76</v>
      </c>
      <c r="C53" s="11" t="n">
        <v>2.761</v>
      </c>
      <c r="D53" s="11" t="n">
        <v>2.002</v>
      </c>
      <c r="E53" s="11" t="n">
        <v>0.64</v>
      </c>
      <c r="F53" s="11" t="n">
        <v>2.642</v>
      </c>
      <c r="G53" s="31">
        <f>B53+C53</f>
        <v/>
      </c>
    </row>
    <row r="54">
      <c r="A54" s="8" t="n">
        <v>44896</v>
      </c>
      <c r="B54" s="9" t="n">
        <v>4.571</v>
      </c>
      <c r="C54" s="9" t="n">
        <v>2.852</v>
      </c>
      <c r="D54" s="9" t="n">
        <v>7.424</v>
      </c>
      <c r="E54" s="9" t="n">
        <v>0.902</v>
      </c>
      <c r="F54" s="9" t="n">
        <v>8.326000000000001</v>
      </c>
      <c r="G54" s="31">
        <f>B54+C54</f>
        <v/>
      </c>
    </row>
    <row r="55">
      <c r="A55" s="10" t="n">
        <v>44927</v>
      </c>
      <c r="B55" s="11" t="n">
        <v>4.14</v>
      </c>
      <c r="C55" s="11" t="n">
        <v>3.105</v>
      </c>
      <c r="D55" s="11" t="n">
        <v>7.244</v>
      </c>
      <c r="E55" s="11" t="n">
        <v>0.84</v>
      </c>
      <c r="F55" s="11" t="n">
        <v>8.084</v>
      </c>
      <c r="G55" s="31">
        <f>B55+C55</f>
        <v/>
      </c>
    </row>
    <row r="56">
      <c r="A56" s="8" t="n">
        <v>44958</v>
      </c>
      <c r="B56" s="9" t="n">
        <v>6.196</v>
      </c>
      <c r="C56" s="9" t="n">
        <v>2.492</v>
      </c>
      <c r="D56" s="9" t="n">
        <v>8.686999999999999</v>
      </c>
      <c r="E56" s="9" t="n">
        <v>0.399</v>
      </c>
      <c r="F56" s="9" t="n">
        <v>9.086</v>
      </c>
      <c r="G56" s="31">
        <f>B56+C56</f>
        <v/>
      </c>
    </row>
    <row r="57">
      <c r="A57" s="10" t="n">
        <v>44986</v>
      </c>
      <c r="B57" s="11" t="n">
        <v>11.478</v>
      </c>
      <c r="C57" s="11" t="n">
        <v>2.431</v>
      </c>
      <c r="D57" s="11" t="n">
        <v>13.909</v>
      </c>
      <c r="E57" s="11" t="n">
        <v>0.361</v>
      </c>
      <c r="F57" s="11" t="n">
        <v>14.27</v>
      </c>
      <c r="G57" s="31">
        <f>B57+C57</f>
        <v/>
      </c>
    </row>
    <row r="58">
      <c r="A58" s="8" t="n">
        <v>45017</v>
      </c>
      <c r="B58" s="9" t="n">
        <v>11.298</v>
      </c>
      <c r="C58" s="9" t="n">
        <v>3.214</v>
      </c>
      <c r="D58" s="9" t="n">
        <v>14.512</v>
      </c>
      <c r="E58" s="9" t="n">
        <v>0.635</v>
      </c>
      <c r="F58" s="9" t="n">
        <v>15.147</v>
      </c>
      <c r="G58" s="31">
        <f>B58+C58</f>
        <v/>
      </c>
    </row>
    <row r="59">
      <c r="A59" s="10" t="n">
        <v>45047</v>
      </c>
      <c r="B59" s="11" t="n">
        <v>15.188</v>
      </c>
      <c r="C59" s="11" t="n">
        <v>2.533</v>
      </c>
      <c r="D59" s="11" t="n">
        <v>17.721</v>
      </c>
      <c r="E59" s="11" t="n">
        <v>0.471</v>
      </c>
      <c r="F59" s="11" t="n">
        <v>18.192</v>
      </c>
      <c r="G59" s="31">
        <f>B59+C59</f>
        <v/>
      </c>
    </row>
    <row r="60">
      <c r="A60" s="8" t="n">
        <v>45078</v>
      </c>
      <c r="B60" s="9" t="n">
        <v>18.59</v>
      </c>
      <c r="C60" s="9" t="n">
        <v>2.95</v>
      </c>
      <c r="D60" s="9" t="n">
        <v>21.54</v>
      </c>
      <c r="E60" s="9" t="n">
        <v>0.593</v>
      </c>
      <c r="F60" s="9" t="n">
        <v>22.133</v>
      </c>
      <c r="G60" s="31">
        <f>B60+C60</f>
        <v/>
      </c>
    </row>
    <row r="61">
      <c r="A61" s="10" t="n">
        <v>45108</v>
      </c>
      <c r="B61" s="11" t="n">
        <v>28.916</v>
      </c>
      <c r="C61" s="11" t="n">
        <v>2.964</v>
      </c>
      <c r="D61" s="11" t="n">
        <v>31.88</v>
      </c>
      <c r="E61" s="11" t="n">
        <v>0.73</v>
      </c>
      <c r="F61" s="11" t="n">
        <v>32.61</v>
      </c>
      <c r="G61" s="31">
        <f>B61+C61</f>
        <v/>
      </c>
    </row>
    <row r="62">
      <c r="A62" s="8" t="n">
        <v>45139</v>
      </c>
      <c r="B62" s="9" t="n">
        <v>22.591</v>
      </c>
      <c r="C62" s="9" t="n">
        <v>2.914</v>
      </c>
      <c r="D62" s="9" t="n">
        <v>25.504</v>
      </c>
      <c r="E62" s="9" t="n">
        <v>0.725</v>
      </c>
      <c r="F62" s="9" t="n">
        <v>26.229</v>
      </c>
      <c r="G62" s="31">
        <f>B62+C62</f>
        <v/>
      </c>
    </row>
    <row r="63">
      <c r="A63" s="10" t="n">
        <v>45170</v>
      </c>
      <c r="B63" s="11" t="n">
        <v>21.612</v>
      </c>
      <c r="C63" s="11" t="n">
        <v>3.125</v>
      </c>
      <c r="D63" s="11" t="n">
        <v>24.737</v>
      </c>
      <c r="E63" s="11" t="n">
        <v>0.703</v>
      </c>
      <c r="F63" s="11" t="n">
        <v>25.441</v>
      </c>
      <c r="G63" s="31">
        <f>B63+C63</f>
        <v/>
      </c>
    </row>
    <row r="64">
      <c r="A64" s="8" t="n">
        <v>45200</v>
      </c>
      <c r="B64" s="9" t="n">
        <v>14.906</v>
      </c>
      <c r="C64" s="9" t="n">
        <v>2.866</v>
      </c>
      <c r="D64" s="9" t="n">
        <v>17.772</v>
      </c>
      <c r="E64" s="9" t="n">
        <v>0.661</v>
      </c>
      <c r="F64" s="9" t="n">
        <v>18.433</v>
      </c>
      <c r="G64" s="31">
        <f>B64+C64</f>
        <v/>
      </c>
    </row>
    <row r="65">
      <c r="A65" s="10" t="n">
        <v>45231</v>
      </c>
      <c r="B65" s="11" t="n">
        <v>19.002</v>
      </c>
      <c r="C65" s="11" t="n">
        <v>3.103</v>
      </c>
      <c r="D65" s="11" t="n">
        <v>22.104</v>
      </c>
      <c r="E65" s="11" t="n">
        <v>0.848</v>
      </c>
      <c r="F65" s="11" t="n">
        <v>22.952</v>
      </c>
      <c r="G65" s="31">
        <f>B65+C65</f>
        <v/>
      </c>
    </row>
    <row r="66">
      <c r="A66" s="8" t="n">
        <v>45261</v>
      </c>
      <c r="B66" s="9" t="n">
        <v>21.605</v>
      </c>
      <c r="C66" s="9" t="n">
        <v>2.865</v>
      </c>
      <c r="D66" s="9" t="n">
        <v>24.47</v>
      </c>
      <c r="E66" s="9" t="n">
        <v>0.921</v>
      </c>
      <c r="F66" s="9" t="n">
        <v>25.391</v>
      </c>
      <c r="G66" s="31">
        <f>B66+C66</f>
        <v/>
      </c>
    </row>
    <row r="67">
      <c r="A67" s="10" t="n">
        <v>45292</v>
      </c>
      <c r="B67" s="11" t="n">
        <v>31.617</v>
      </c>
      <c r="C67" s="11" t="n">
        <v>2.909</v>
      </c>
      <c r="D67" s="11" t="n">
        <v>34.526</v>
      </c>
      <c r="E67" s="11" t="n">
        <v>1.058</v>
      </c>
      <c r="F67" s="11" t="n">
        <v>35.585</v>
      </c>
      <c r="G67" s="31">
        <f>B67+C67</f>
        <v/>
      </c>
    </row>
    <row r="68">
      <c r="A68" s="8" t="n">
        <v>45323</v>
      </c>
      <c r="B68" s="9" t="n">
        <v>27.553</v>
      </c>
      <c r="C68" s="9" t="n">
        <v>2.782</v>
      </c>
      <c r="D68" s="9" t="n">
        <v>30.335</v>
      </c>
      <c r="E68" s="9" t="n">
        <v>0.8139999999999999</v>
      </c>
      <c r="F68" s="9" t="n">
        <v>31.149</v>
      </c>
      <c r="G68" s="31">
        <f>B68+C68</f>
        <v/>
      </c>
    </row>
    <row r="69">
      <c r="A69" s="10" t="n">
        <v>45352</v>
      </c>
      <c r="B69" s="11" t="n">
        <v>24.758</v>
      </c>
      <c r="C69" s="11" t="n">
        <v>2.473</v>
      </c>
      <c r="D69" s="11" t="n">
        <v>27.231</v>
      </c>
      <c r="E69" s="11" t="n">
        <v>0.711</v>
      </c>
      <c r="F69" s="11" t="n">
        <v>27.942</v>
      </c>
      <c r="G69" s="31">
        <f>B69+C69</f>
        <v/>
      </c>
    </row>
    <row r="70">
      <c r="A70" s="8" t="n">
        <v>45383</v>
      </c>
      <c r="B70" s="9" t="n">
        <v>31.487</v>
      </c>
      <c r="C70" s="9" t="n">
        <v>3.24</v>
      </c>
      <c r="D70" s="9" t="n">
        <v>34.727</v>
      </c>
      <c r="E70" s="9" t="n">
        <v>0.925</v>
      </c>
      <c r="F70" s="9" t="n">
        <v>35.652</v>
      </c>
      <c r="G70" s="31">
        <f>B70+C70</f>
        <v/>
      </c>
    </row>
    <row r="71">
      <c r="A71" s="10" t="n">
        <v>45413</v>
      </c>
      <c r="B71" s="11" t="n">
        <v>31.28</v>
      </c>
      <c r="C71" s="11" t="n">
        <v>3.228</v>
      </c>
      <c r="D71" s="11" t="n">
        <v>34.507</v>
      </c>
      <c r="E71" s="11" t="n">
        <v>0.984</v>
      </c>
      <c r="F71" s="11" t="n">
        <v>35.491</v>
      </c>
      <c r="G71" s="31">
        <f>B71+C71</f>
        <v/>
      </c>
    </row>
    <row r="72">
      <c r="A72" s="8" t="n">
        <v>45444</v>
      </c>
      <c r="B72" s="9" t="n">
        <v>29.988</v>
      </c>
      <c r="C72" s="9" t="n">
        <v>3.241</v>
      </c>
      <c r="D72" s="9" t="n">
        <v>33.229</v>
      </c>
      <c r="E72" s="9" t="n">
        <v>0.909</v>
      </c>
      <c r="F72" s="9" t="n">
        <v>34.138</v>
      </c>
      <c r="G72" s="31">
        <f>B72+C72</f>
        <v/>
      </c>
    </row>
    <row r="73">
      <c r="A73" s="10" t="n">
        <v>45474</v>
      </c>
      <c r="B73" s="11" t="n">
        <v>34.717</v>
      </c>
      <c r="C73" s="11" t="n">
        <v>2.934</v>
      </c>
      <c r="D73" s="11" t="n">
        <v>37.651</v>
      </c>
      <c r="E73" s="11" t="n">
        <v>0.983</v>
      </c>
      <c r="F73" s="11" t="n">
        <v>38.634</v>
      </c>
      <c r="G73" s="31">
        <f>B73+C73</f>
        <v/>
      </c>
    </row>
    <row r="74">
      <c r="A74" s="8" t="n">
        <v>45505</v>
      </c>
      <c r="B74" s="9" t="n">
        <v>33.376</v>
      </c>
      <c r="C74" s="9" t="n">
        <v>3.296</v>
      </c>
      <c r="D74" s="9" t="n">
        <v>36.672</v>
      </c>
      <c r="E74" s="9" t="n">
        <v>1.078</v>
      </c>
      <c r="F74" s="9" t="n">
        <v>37.75</v>
      </c>
      <c r="G74" s="31">
        <f>B74+C74</f>
        <v/>
      </c>
    </row>
    <row r="75">
      <c r="A75" s="10" t="n">
        <v>45536</v>
      </c>
      <c r="B75" s="11" t="n">
        <v>9.394</v>
      </c>
      <c r="C75" s="11" t="n">
        <v>0.555</v>
      </c>
      <c r="D75" s="11" t="n">
        <v>9.949</v>
      </c>
      <c r="E75" s="11" t="n">
        <v>0.105</v>
      </c>
      <c r="F75" s="11" t="n">
        <v>10.054</v>
      </c>
      <c r="G75" s="31">
        <f>B75+C75</f>
        <v/>
      </c>
    </row>
    <row r="76">
      <c r="A76" s="8" t="n">
        <v>45566</v>
      </c>
      <c r="B76" s="9" t="n">
        <v>35.446</v>
      </c>
      <c r="C76" s="9" t="n">
        <v>3.53</v>
      </c>
      <c r="D76" s="9" t="n">
        <v>38.975</v>
      </c>
      <c r="E76" s="9" t="n">
        <v>1.07</v>
      </c>
      <c r="F76" s="9" t="n">
        <v>40.046</v>
      </c>
      <c r="G76" s="31">
        <f>B76+C76</f>
        <v/>
      </c>
    </row>
    <row r="77">
      <c r="A77" s="10" t="n">
        <v>45597</v>
      </c>
      <c r="B77" s="11" t="n">
        <v>40.16</v>
      </c>
      <c r="C77" s="11" t="n">
        <v>4.062</v>
      </c>
      <c r="D77" s="11" t="n">
        <v>44.222</v>
      </c>
      <c r="E77" s="11" t="n">
        <v>1.176</v>
      </c>
      <c r="F77" s="11" t="n">
        <v>45.398</v>
      </c>
      <c r="G77" s="31">
        <f>B77+C77</f>
        <v/>
      </c>
    </row>
    <row r="78">
      <c r="A78" s="8" t="n">
        <v>45627</v>
      </c>
      <c r="B78" s="9" t="n">
        <v>37.648</v>
      </c>
      <c r="C78" s="9" t="n">
        <v>3.912</v>
      </c>
      <c r="D78" s="9" t="n">
        <v>41.559</v>
      </c>
      <c r="E78" s="9" t="n">
        <v>1.15</v>
      </c>
      <c r="F78" s="9" t="n">
        <v>42.709</v>
      </c>
      <c r="G78" s="31">
        <f>B78+C78</f>
        <v/>
      </c>
    </row>
    <row r="79">
      <c r="A79" s="10" t="n">
        <v>45658</v>
      </c>
      <c r="B79" s="11" t="n">
        <v>31.916</v>
      </c>
      <c r="C79" s="11" t="n">
        <v>3.031</v>
      </c>
      <c r="D79" s="11" t="n">
        <v>34.948</v>
      </c>
      <c r="E79" s="11" t="n">
        <v>0.899</v>
      </c>
      <c r="F79" s="11" t="n">
        <v>35.846</v>
      </c>
      <c r="G79" s="31">
        <f>B79+C79</f>
        <v/>
      </c>
    </row>
    <row r="80">
      <c r="A80" s="8" t="n">
        <v>45689</v>
      </c>
      <c r="B80" s="9" t="n">
        <v>28.151</v>
      </c>
      <c r="C80" s="9" t="n">
        <v>2.819</v>
      </c>
      <c r="D80" s="9" t="n">
        <v>30.97</v>
      </c>
      <c r="E80" s="9" t="n">
        <v>0.805</v>
      </c>
      <c r="F80" s="9" t="n">
        <v>31.775</v>
      </c>
      <c r="G80" s="31">
        <f>B80+C80</f>
        <v/>
      </c>
    </row>
    <row r="81">
      <c r="A81" s="10" t="n">
        <v>45717</v>
      </c>
      <c r="B81" s="11" t="n">
        <v>18.36</v>
      </c>
      <c r="C81" s="11" t="n">
        <v>2.658</v>
      </c>
      <c r="D81" s="11" t="n">
        <v>21.018</v>
      </c>
      <c r="E81" s="11" t="n">
        <v>0.746</v>
      </c>
      <c r="F81" s="11" t="n">
        <v>21.765</v>
      </c>
      <c r="G81" s="31">
        <f>B81+C81</f>
        <v/>
      </c>
    </row>
    <row r="82">
      <c r="A82" s="8" t="n">
        <v>45748</v>
      </c>
      <c r="B82" s="9" t="n">
        <v>41.339</v>
      </c>
      <c r="C82" s="9" t="n">
        <v>2.868</v>
      </c>
      <c r="D82" s="9" t="n">
        <v>44.208</v>
      </c>
      <c r="E82" s="9" t="n">
        <v>0.882</v>
      </c>
      <c r="F82" s="9" t="n">
        <v>45.09</v>
      </c>
      <c r="G82" s="31">
        <f>B82+C82</f>
        <v/>
      </c>
    </row>
    <row r="83">
      <c r="A83" s="10" t="n">
        <v>45778</v>
      </c>
      <c r="B83" s="11" t="n">
        <v>34.156</v>
      </c>
      <c r="C83" s="11" t="n">
        <v>3.239</v>
      </c>
      <c r="D83" s="11" t="n">
        <v>37.395</v>
      </c>
      <c r="E83" s="11" t="n">
        <v>0.578</v>
      </c>
      <c r="F83" s="11" t="n">
        <v>37.973</v>
      </c>
      <c r="G83" s="31">
        <f>B83+C83</f>
        <v/>
      </c>
    </row>
    <row r="84">
      <c r="A84" s="8" t="n">
        <v>45809</v>
      </c>
      <c r="B84" s="9" t="n">
        <v>32.139</v>
      </c>
      <c r="C84" s="9" t="n">
        <v>3.216</v>
      </c>
      <c r="D84" s="9" t="n">
        <v>35.355</v>
      </c>
      <c r="E84" s="9" t="n">
        <v>0.656</v>
      </c>
      <c r="F84" s="9" t="n">
        <v>36.01</v>
      </c>
      <c r="G84" s="31">
        <f>B84+C84</f>
        <v/>
      </c>
    </row>
    <row r="85">
      <c r="A85" s="10" t="n">
        <v>45839</v>
      </c>
      <c r="B85" s="11" t="n">
        <v>35.531</v>
      </c>
      <c r="C85" s="11" t="n">
        <v>3.257</v>
      </c>
      <c r="D85" s="11" t="n">
        <v>38.787</v>
      </c>
      <c r="E85" s="11" t="n">
        <v>0.717</v>
      </c>
      <c r="F85" s="11" t="n">
        <v>39.504</v>
      </c>
      <c r="G85" s="31">
        <f>B85+C85</f>
        <v/>
      </c>
    </row>
    <row r="86">
      <c r="A86" s="8" t="n">
        <v>45870</v>
      </c>
      <c r="B86" s="9" t="n">
        <v>34.938</v>
      </c>
      <c r="C86" s="9" t="n">
        <v>3.369</v>
      </c>
      <c r="D86" s="9" t="n">
        <v>38.307</v>
      </c>
      <c r="E86" s="9" t="n">
        <v>0.876</v>
      </c>
      <c r="F86" s="9" t="n">
        <v>39.184</v>
      </c>
      <c r="G86" s="31">
        <f>B86+C86</f>
        <v/>
      </c>
    </row>
    <row r="87">
      <c r="A87" s="10" t="n">
        <v>45901</v>
      </c>
      <c r="B87" s="11" t="n">
        <v>36.309</v>
      </c>
      <c r="C87" s="11" t="n">
        <v>3.256</v>
      </c>
      <c r="D87" s="11" t="n">
        <v>39.565</v>
      </c>
      <c r="E87" s="11" t="n">
        <v>0.821</v>
      </c>
      <c r="F87" s="11" t="n">
        <v>40.386</v>
      </c>
      <c r="G87" s="31">
        <f>B87+C87</f>
        <v/>
      </c>
    </row>
    <row r="88">
      <c r="A88" s="8" t="n">
        <v>45931</v>
      </c>
      <c r="B88" s="9" t="n">
        <v>40.778</v>
      </c>
      <c r="C88" s="9" t="n">
        <v>3.379</v>
      </c>
      <c r="D88" s="9" t="n">
        <v>44.157</v>
      </c>
      <c r="E88" s="9" t="n">
        <v>0.75</v>
      </c>
      <c r="F88" s="9" t="n">
        <v>44.906</v>
      </c>
      <c r="G88" s="31">
        <f>B88+C88</f>
        <v/>
      </c>
    </row>
    <row r="89">
      <c r="A89" s="10" t="n">
        <v>45962</v>
      </c>
      <c r="B89" s="11" t="n">
        <v>36.675</v>
      </c>
      <c r="C89" s="11" t="n">
        <v>3.692</v>
      </c>
      <c r="D89" s="11" t="n">
        <v>40.366</v>
      </c>
      <c r="E89" s="11" t="n">
        <v>0.805</v>
      </c>
      <c r="F89" s="11" t="n">
        <v>41.172</v>
      </c>
      <c r="G89" s="31">
        <f>B89+C89</f>
        <v/>
      </c>
    </row>
    <row r="90">
      <c r="A90" s="8" t="n">
        <v>45992</v>
      </c>
      <c r="B90" s="9" t="n">
        <v>36.135</v>
      </c>
      <c r="C90" s="9" t="n">
        <v>3.145</v>
      </c>
      <c r="D90" s="9" t="n">
        <v>39.28</v>
      </c>
      <c r="E90" s="9" t="n">
        <v>0.711</v>
      </c>
      <c r="F90" s="9" t="n">
        <v>39.991</v>
      </c>
      <c r="G90" s="31">
        <f>B90+C90</f>
        <v/>
      </c>
    </row>
    <row r="91">
      <c r="A91" s="10" t="n">
        <v>46023</v>
      </c>
      <c r="B91" s="11" t="n">
        <v>35.711</v>
      </c>
      <c r="C91" s="11" t="n">
        <v>3.737</v>
      </c>
      <c r="D91" s="11" t="n">
        <v>39.448</v>
      </c>
      <c r="E91" s="11" t="n">
        <v>0.888</v>
      </c>
      <c r="F91" s="11" t="n">
        <v>40.336</v>
      </c>
      <c r="G91" s="31">
        <f>B91+C91</f>
        <v/>
      </c>
    </row>
    <row r="92">
      <c r="A92" s="8" t="n">
        <v>46054</v>
      </c>
      <c r="B92" s="9" t="n">
        <v>37.047</v>
      </c>
      <c r="C92" s="9" t="n">
        <v>3.345</v>
      </c>
      <c r="D92" s="9" t="n">
        <v>40.392</v>
      </c>
      <c r="E92" s="9" t="n">
        <v>0.853</v>
      </c>
      <c r="F92" s="9" t="n">
        <v>41.245</v>
      </c>
      <c r="G92" s="31">
        <f>B92+C92</f>
        <v/>
      </c>
    </row>
    <row r="93">
      <c r="A93" s="10" t="n">
        <v>46082</v>
      </c>
      <c r="B93" s="11" t="n">
        <v>32.439</v>
      </c>
      <c r="C93" s="11" t="n">
        <v>3.165</v>
      </c>
      <c r="D93" s="11" t="n">
        <v>35.604</v>
      </c>
      <c r="E93" s="11" t="n">
        <v>0.803</v>
      </c>
      <c r="F93" s="11" t="n">
        <v>36.407</v>
      </c>
      <c r="G93" s="31">
        <f>B93+C93</f>
        <v/>
      </c>
    </row>
    <row r="94">
      <c r="A94" s="8" t="n">
        <v>46113</v>
      </c>
      <c r="B94" s="9" t="n">
        <v>37.822</v>
      </c>
      <c r="C94" s="9" t="n">
        <v>3.689</v>
      </c>
      <c r="D94" s="9" t="n">
        <v>41.511</v>
      </c>
      <c r="E94" s="9" t="n">
        <v>0.915</v>
      </c>
      <c r="F94" s="9" t="n">
        <v>42.426</v>
      </c>
      <c r="G94" s="31">
        <f>B94+C94</f>
        <v/>
      </c>
    </row>
    <row r="95">
      <c r="A95" s="10" t="n">
        <v>46143</v>
      </c>
      <c r="B95" s="11" t="n">
        <v>24.554</v>
      </c>
      <c r="C95" s="11" t="n">
        <v>3.573</v>
      </c>
      <c r="D95" s="11" t="n">
        <v>28.126</v>
      </c>
      <c r="E95" s="11" t="n">
        <v>0.882</v>
      </c>
      <c r="F95" s="11" t="n">
        <v>29.008</v>
      </c>
      <c r="G95" s="31">
        <f>B95+C95</f>
        <v/>
      </c>
    </row>
    <row r="96">
      <c r="A96" s="8" t="n">
        <v>46174</v>
      </c>
      <c r="B96" s="9" t="n">
        <v>31.457</v>
      </c>
      <c r="C96" s="9" t="n">
        <v>3.35</v>
      </c>
      <c r="D96" s="9" t="n">
        <v>34.807</v>
      </c>
      <c r="E96" s="9" t="n">
        <v>0.804</v>
      </c>
      <c r="F96" s="9" t="n">
        <v>35.611</v>
      </c>
      <c r="G96" s="31">
        <f>B96+C96</f>
        <v/>
      </c>
    </row>
    <row r="97">
      <c r="A97" s="10" t="n">
        <v>46204</v>
      </c>
      <c r="B97" s="11" t="n">
        <v>28.386</v>
      </c>
      <c r="C97" s="11" t="n">
        <v>3.296</v>
      </c>
      <c r="D97" s="11" t="n">
        <v>31.682</v>
      </c>
      <c r="E97" s="11" t="n"/>
      <c r="F97" s="11" t="n"/>
      <c r="G97" s="31">
        <f>B97+C97</f>
        <v/>
      </c>
    </row>
    <row r="99">
      <c r="A99" s="2" t="inlineStr">
        <is>
          <t>Comparación de los dos periodos: previo de ene-2025 a mar-2026, reciente de abr a jul de 2026</t>
        </is>
      </c>
    </row>
    <row r="100">
      <c r="A100" s="6" t="inlineStr">
        <is>
          <t>Concepto</t>
        </is>
      </c>
      <c r="B100" s="7" t="inlineStr">
        <is>
          <t>Periodo previo</t>
        </is>
      </c>
      <c r="C100" s="7" t="inlineStr">
        <is>
          <t>Periodo reciente</t>
        </is>
      </c>
      <c r="D100" s="7" t="inlineStr">
        <is>
          <t>Variación %</t>
        </is>
      </c>
      <c r="E100" s="7" t="inlineStr">
        <is>
          <t>Qué mide</t>
        </is>
      </c>
    </row>
    <row r="101">
      <c r="A101" s="13" t="inlineStr">
        <is>
          <t>Federal</t>
        </is>
      </c>
      <c r="B101" s="11" t="n">
        <v>34.11</v>
      </c>
      <c r="C101" s="11" t="n">
        <v>30.55</v>
      </c>
      <c r="D101" s="11" t="n">
        <v>-10.4</v>
      </c>
      <c r="E101" s="11" t="inlineStr">
        <is>
          <t>Absorbe el estímulo fiscal. Es la que explica la caída.</t>
        </is>
      </c>
    </row>
    <row r="102">
      <c r="A102" s="16" t="inlineStr">
        <is>
          <t>Estatal</t>
        </is>
      </c>
      <c r="B102" s="9" t="n">
        <v>3.21</v>
      </c>
      <c r="C102" s="9" t="n">
        <v>3.48</v>
      </c>
      <c r="D102" s="9" t="n">
        <v>8.300000000000001</v>
      </c>
      <c r="E102" s="9" t="inlineStr">
        <is>
          <t>Cuota fija sin estímulo: se mueve casi sólo con el volumen.</t>
        </is>
      </c>
    </row>
    <row r="103">
      <c r="A103" s="13" t="inlineStr">
        <is>
          <t>Federal más estatal</t>
        </is>
      </c>
      <c r="B103" s="11" t="n">
        <v>37.32</v>
      </c>
      <c r="C103" s="11" t="n">
        <v>34.03</v>
      </c>
      <c r="D103" s="11" t="n">
        <v>-8.800000000000001</v>
      </c>
      <c r="E103" s="11" t="inlineStr">
        <is>
          <t>Es la cifra que Hacienda reporta como IEPS a combustibles automotrices.</t>
        </is>
      </c>
    </row>
    <row r="104">
      <c r="A104" s="16" t="inlineStr">
        <is>
          <t>Impuesto al carbono (informativo)</t>
        </is>
      </c>
      <c r="B104" s="9" t="n">
        <v>0.79</v>
      </c>
      <c r="C104" s="9" t="n">
        <v>0.87</v>
      </c>
      <c r="D104" s="9" t="n">
        <v>10.3</v>
      </c>
      <c r="E104" s="9" t="inlineStr">
        <is>
          <t>Artículo 2o, fracción I, inciso H. No forma parte del total anterior.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IEPS a combustibles fósiles, artículo 2o fracción I inciso H</t>
        </is>
      </c>
    </row>
    <row r="2">
      <c r="A2" s="2" t="inlineStr">
        <is>
          <t>Millones de pesos al mes · serie observada de Hacienda, de enero de 2014 a la fecha</t>
        </is>
      </c>
    </row>
    <row r="4">
      <c r="A4" s="2" t="inlineStr">
        <is>
          <t>Dos versiones de la misma serie. La registrada trae siete meses negativos entre 2016 y 2017, producto de declaraciones que aplicaron mal el estímulo fiscal. La ajustada redistribuye la corrección de 2017 a los meses que le correspondían y suma exactamente lo mismo.</t>
        </is>
      </c>
    </row>
    <row r="6">
      <c r="A6" s="6" t="inlineStr">
        <is>
          <t>Mes</t>
        </is>
      </c>
      <c r="B6" s="7" t="inlineStr">
        <is>
          <t>Registrada (tabla 1)</t>
        </is>
      </c>
      <c r="C6" s="7" t="inlineStr">
        <is>
          <t>Ajustada (tabla 2)</t>
        </is>
      </c>
      <c r="E6" s="6" t="inlineStr">
        <is>
          <t>Diferencia</t>
        </is>
      </c>
    </row>
    <row r="7">
      <c r="A7" s="10" t="n">
        <v>41640</v>
      </c>
      <c r="B7" s="18" t="n">
        <v>0</v>
      </c>
      <c r="C7" s="18" t="n">
        <v>0</v>
      </c>
      <c r="E7" s="30">
        <f>C7-B7</f>
        <v/>
      </c>
    </row>
    <row r="8">
      <c r="A8" s="8" t="n">
        <v>41671</v>
      </c>
      <c r="B8" s="29" t="n">
        <v>902.5</v>
      </c>
      <c r="C8" s="29" t="n">
        <v>902.5</v>
      </c>
      <c r="E8" s="30">
        <f>C8-B8</f>
        <v/>
      </c>
    </row>
    <row r="9">
      <c r="A9" s="10" t="n">
        <v>41699</v>
      </c>
      <c r="B9" s="18" t="n">
        <v>663.4</v>
      </c>
      <c r="C9" s="18" t="n">
        <v>663.4</v>
      </c>
      <c r="E9" s="30">
        <f>C9-B9</f>
        <v/>
      </c>
    </row>
    <row r="10">
      <c r="A10" s="8" t="n">
        <v>41730</v>
      </c>
      <c r="B10" s="29" t="n">
        <v>882.1</v>
      </c>
      <c r="C10" s="29" t="n">
        <v>882.1</v>
      </c>
      <c r="E10" s="30">
        <f>C10-B10</f>
        <v/>
      </c>
    </row>
    <row r="11">
      <c r="A11" s="10" t="n">
        <v>41760</v>
      </c>
      <c r="B11" s="18" t="n">
        <v>985.9</v>
      </c>
      <c r="C11" s="18" t="n">
        <v>985.9</v>
      </c>
      <c r="E11" s="30">
        <f>C11-B11</f>
        <v/>
      </c>
    </row>
    <row r="12">
      <c r="A12" s="8" t="n">
        <v>41791</v>
      </c>
      <c r="B12" s="29" t="n">
        <v>784.2</v>
      </c>
      <c r="C12" s="29" t="n">
        <v>784.2</v>
      </c>
      <c r="E12" s="30">
        <f>C12-B12</f>
        <v/>
      </c>
    </row>
    <row r="13">
      <c r="A13" s="10" t="n">
        <v>41821</v>
      </c>
      <c r="B13" s="18" t="n">
        <v>978.3</v>
      </c>
      <c r="C13" s="18" t="n">
        <v>978.3</v>
      </c>
      <c r="E13" s="30">
        <f>C13-B13</f>
        <v/>
      </c>
    </row>
    <row r="14">
      <c r="A14" s="8" t="n">
        <v>41852</v>
      </c>
      <c r="B14" s="29" t="n">
        <v>895.3</v>
      </c>
      <c r="C14" s="29" t="n">
        <v>895.3</v>
      </c>
      <c r="E14" s="30">
        <f>C14-B14</f>
        <v/>
      </c>
    </row>
    <row r="15">
      <c r="A15" s="10" t="n">
        <v>41883</v>
      </c>
      <c r="B15" s="18" t="n">
        <v>886.6</v>
      </c>
      <c r="C15" s="18" t="n">
        <v>886.6</v>
      </c>
      <c r="E15" s="30">
        <f>C15-B15</f>
        <v/>
      </c>
    </row>
    <row r="16">
      <c r="A16" s="8" t="n">
        <v>41913</v>
      </c>
      <c r="B16" s="29" t="n">
        <v>952.7</v>
      </c>
      <c r="C16" s="29" t="n">
        <v>952.7</v>
      </c>
      <c r="E16" s="30">
        <f>C16-B16</f>
        <v/>
      </c>
    </row>
    <row r="17">
      <c r="A17" s="10" t="n">
        <v>41944</v>
      </c>
      <c r="B17" s="18" t="n">
        <v>836.1</v>
      </c>
      <c r="C17" s="18" t="n">
        <v>836.1</v>
      </c>
      <c r="E17" s="30">
        <f>C17-B17</f>
        <v/>
      </c>
    </row>
    <row r="18">
      <c r="A18" s="8" t="n">
        <v>41974</v>
      </c>
      <c r="B18" s="29" t="n">
        <v>903.3</v>
      </c>
      <c r="C18" s="29" t="n">
        <v>903.3</v>
      </c>
      <c r="E18" s="30">
        <f>C18-B18</f>
        <v/>
      </c>
    </row>
    <row r="19">
      <c r="A19" s="10" t="n">
        <v>42005</v>
      </c>
      <c r="B19" s="18" t="n">
        <v>1040.1</v>
      </c>
      <c r="C19" s="18" t="n">
        <v>1040.1</v>
      </c>
      <c r="E19" s="30">
        <f>C19-B19</f>
        <v/>
      </c>
    </row>
    <row r="20">
      <c r="A20" s="8" t="n">
        <v>42036</v>
      </c>
      <c r="B20" s="29" t="n">
        <v>119.2</v>
      </c>
      <c r="C20" s="29" t="n">
        <v>119.2</v>
      </c>
      <c r="E20" s="30">
        <f>C20-B20</f>
        <v/>
      </c>
    </row>
    <row r="21">
      <c r="A21" s="10" t="n">
        <v>42064</v>
      </c>
      <c r="B21" s="18" t="n">
        <v>495.6</v>
      </c>
      <c r="C21" s="18" t="n">
        <v>495.6</v>
      </c>
      <c r="E21" s="30">
        <f>C21-B21</f>
        <v/>
      </c>
    </row>
    <row r="22">
      <c r="A22" s="8" t="n">
        <v>42095</v>
      </c>
      <c r="B22" s="29" t="n">
        <v>738.3</v>
      </c>
      <c r="C22" s="29" t="n">
        <v>738.3</v>
      </c>
      <c r="E22" s="30">
        <f>C22-B22</f>
        <v/>
      </c>
    </row>
    <row r="23">
      <c r="A23" s="10" t="n">
        <v>42125</v>
      </c>
      <c r="B23" s="18" t="n">
        <v>616.2</v>
      </c>
      <c r="C23" s="18" t="n">
        <v>616.2</v>
      </c>
      <c r="E23" s="30">
        <f>C23-B23</f>
        <v/>
      </c>
    </row>
    <row r="24">
      <c r="A24" s="8" t="n">
        <v>42156</v>
      </c>
      <c r="B24" s="29" t="n">
        <v>728.1</v>
      </c>
      <c r="C24" s="29" t="n">
        <v>728.1</v>
      </c>
      <c r="E24" s="30">
        <f>C24-B24</f>
        <v/>
      </c>
    </row>
    <row r="25">
      <c r="A25" s="10" t="n">
        <v>42186</v>
      </c>
      <c r="B25" s="18" t="n">
        <v>628.6</v>
      </c>
      <c r="C25" s="18" t="n">
        <v>628.6</v>
      </c>
      <c r="E25" s="30">
        <f>C25-B25</f>
        <v/>
      </c>
    </row>
    <row r="26">
      <c r="A26" s="8" t="n">
        <v>42217</v>
      </c>
      <c r="B26" s="29" t="n">
        <v>675.8</v>
      </c>
      <c r="C26" s="29" t="n">
        <v>675.8</v>
      </c>
      <c r="E26" s="30">
        <f>C26-B26</f>
        <v/>
      </c>
    </row>
    <row r="27">
      <c r="A27" s="10" t="n">
        <v>42248</v>
      </c>
      <c r="B27" s="18" t="n">
        <v>452.5</v>
      </c>
      <c r="C27" s="18" t="n">
        <v>452.5</v>
      </c>
      <c r="E27" s="30">
        <f>C27-B27</f>
        <v/>
      </c>
    </row>
    <row r="28">
      <c r="A28" s="8" t="n">
        <v>42278</v>
      </c>
      <c r="B28" s="29" t="n">
        <v>632.5</v>
      </c>
      <c r="C28" s="29" t="n">
        <v>632.5</v>
      </c>
      <c r="E28" s="30">
        <f>C28-B28</f>
        <v/>
      </c>
    </row>
    <row r="29">
      <c r="A29" s="10" t="n">
        <v>42309</v>
      </c>
      <c r="B29" s="18" t="n">
        <v>701</v>
      </c>
      <c r="C29" s="18" t="n">
        <v>701</v>
      </c>
      <c r="E29" s="30">
        <f>C29-B29</f>
        <v/>
      </c>
    </row>
    <row r="30">
      <c r="A30" s="8" t="n">
        <v>42339</v>
      </c>
      <c r="B30" s="29" t="n">
        <v>820.7</v>
      </c>
      <c r="C30" s="29" t="n">
        <v>820.7</v>
      </c>
      <c r="E30" s="30">
        <f>C30-B30</f>
        <v/>
      </c>
    </row>
    <row r="31">
      <c r="A31" s="10" t="n">
        <v>42370</v>
      </c>
      <c r="B31" s="18" t="n">
        <v>540</v>
      </c>
      <c r="C31" s="18" t="n">
        <v>540</v>
      </c>
      <c r="E31" s="30">
        <f>C31-B31</f>
        <v/>
      </c>
    </row>
    <row r="32">
      <c r="A32" s="8" t="n">
        <v>42401</v>
      </c>
      <c r="B32" s="29" t="n">
        <v>675.7</v>
      </c>
      <c r="C32" s="29" t="n">
        <v>675.7</v>
      </c>
      <c r="E32" s="30">
        <f>C32-B32</f>
        <v/>
      </c>
    </row>
    <row r="33">
      <c r="A33" s="10" t="n">
        <v>42430</v>
      </c>
      <c r="B33" s="18" t="n">
        <v>588.6</v>
      </c>
      <c r="C33" s="18" t="n">
        <v>588.6</v>
      </c>
      <c r="E33" s="30">
        <f>C33-B33</f>
        <v/>
      </c>
    </row>
    <row r="34">
      <c r="A34" s="8" t="n">
        <v>42461</v>
      </c>
      <c r="B34" s="29" t="n">
        <v>674.8</v>
      </c>
      <c r="C34" s="29" t="n">
        <v>674.8</v>
      </c>
      <c r="E34" s="30">
        <f>C34-B34</f>
        <v/>
      </c>
    </row>
    <row r="35">
      <c r="A35" s="10" t="n">
        <v>42491</v>
      </c>
      <c r="B35" s="18" t="n">
        <v>525.1</v>
      </c>
      <c r="C35" s="18" t="n">
        <v>525.1</v>
      </c>
      <c r="E35" s="30">
        <f>C35-B35</f>
        <v/>
      </c>
    </row>
    <row r="36">
      <c r="A36" s="8" t="n">
        <v>42522</v>
      </c>
      <c r="B36" s="29" t="n">
        <v>347.8</v>
      </c>
      <c r="C36" s="29" t="n">
        <v>584.1</v>
      </c>
      <c r="E36" s="30">
        <f>C36-B36</f>
        <v/>
      </c>
    </row>
    <row r="37">
      <c r="A37" s="10" t="n">
        <v>42552</v>
      </c>
      <c r="B37" s="18" t="n">
        <v>132.4</v>
      </c>
      <c r="C37" s="18" t="n">
        <v>597.7</v>
      </c>
      <c r="E37" s="30">
        <f>C37-B37</f>
        <v/>
      </c>
    </row>
    <row r="38">
      <c r="A38" s="8" t="n">
        <v>42583</v>
      </c>
      <c r="B38" s="29" t="n">
        <v>-220.6</v>
      </c>
      <c r="C38" s="29" t="n">
        <v>456.1</v>
      </c>
      <c r="E38" s="30">
        <f>C38-B38</f>
        <v/>
      </c>
    </row>
    <row r="39">
      <c r="A39" s="10" t="n">
        <v>42614</v>
      </c>
      <c r="B39" s="18" t="n">
        <v>-342.6</v>
      </c>
      <c r="C39" s="18" t="n">
        <v>543.6</v>
      </c>
      <c r="E39" s="30">
        <f>C39-B39</f>
        <v/>
      </c>
    </row>
    <row r="40">
      <c r="A40" s="8" t="n">
        <v>42644</v>
      </c>
      <c r="B40" s="29" t="n">
        <v>-637.2</v>
      </c>
      <c r="C40" s="29" t="n">
        <v>461</v>
      </c>
      <c r="E40" s="30">
        <f>C40-B40</f>
        <v/>
      </c>
    </row>
    <row r="41">
      <c r="A41" s="10" t="n">
        <v>42675</v>
      </c>
      <c r="B41" s="18" t="n">
        <v>-612.7</v>
      </c>
      <c r="C41" s="18" t="n">
        <v>693.5</v>
      </c>
      <c r="E41" s="30">
        <f>C41-B41</f>
        <v/>
      </c>
    </row>
    <row r="42">
      <c r="A42" s="8" t="n">
        <v>42705</v>
      </c>
      <c r="B42" s="29" t="n">
        <v>-1225.3</v>
      </c>
      <c r="C42" s="29" t="n">
        <v>317.6</v>
      </c>
      <c r="E42" s="30">
        <f>C42-B42</f>
        <v/>
      </c>
    </row>
    <row r="43">
      <c r="A43" s="10" t="n">
        <v>42736</v>
      </c>
      <c r="B43" s="18" t="n">
        <v>-1249.9</v>
      </c>
      <c r="C43" s="18" t="n">
        <v>507.4</v>
      </c>
      <c r="E43" s="30">
        <f>C43-B43</f>
        <v/>
      </c>
    </row>
    <row r="44">
      <c r="A44" s="8" t="n">
        <v>42767</v>
      </c>
      <c r="B44" s="29" t="n">
        <v>181.8</v>
      </c>
      <c r="C44" s="29" t="n">
        <v>359.5</v>
      </c>
      <c r="E44" s="30">
        <f>C44-B44</f>
        <v/>
      </c>
    </row>
    <row r="45">
      <c r="A45" s="10" t="n">
        <v>42795</v>
      </c>
      <c r="B45" s="18" t="n">
        <v>200.4</v>
      </c>
      <c r="C45" s="18" t="n">
        <v>200.4</v>
      </c>
      <c r="E45" s="30">
        <f>C45-B45</f>
        <v/>
      </c>
    </row>
    <row r="46">
      <c r="A46" s="8" t="n">
        <v>42826</v>
      </c>
      <c r="B46" s="29" t="n">
        <v>8491.299999999999</v>
      </c>
      <c r="C46" s="29" t="n">
        <v>726.5</v>
      </c>
      <c r="E46" s="30">
        <f>C46-B46</f>
        <v/>
      </c>
    </row>
    <row r="47">
      <c r="A47" s="10" t="n">
        <v>42856</v>
      </c>
      <c r="B47" s="18" t="n">
        <v>925.2</v>
      </c>
      <c r="C47" s="18" t="n">
        <v>543</v>
      </c>
      <c r="E47" s="30">
        <f>C47-B47</f>
        <v/>
      </c>
    </row>
    <row r="48">
      <c r="A48" s="8" t="n">
        <v>42887</v>
      </c>
      <c r="B48" s="29" t="n">
        <v>557.5</v>
      </c>
      <c r="C48" s="29" t="n">
        <v>557.4</v>
      </c>
      <c r="E48" s="30">
        <f>C48-B48</f>
        <v/>
      </c>
    </row>
    <row r="49">
      <c r="A49" s="10" t="n">
        <v>42917</v>
      </c>
      <c r="B49" s="18" t="n">
        <v>-1190.7</v>
      </c>
      <c r="C49" s="18" t="n">
        <v>392.9</v>
      </c>
      <c r="E49" s="30">
        <f>C49-B49</f>
        <v/>
      </c>
    </row>
    <row r="50">
      <c r="A50" s="8" t="n">
        <v>42948</v>
      </c>
      <c r="B50" s="29" t="n">
        <v>548.8</v>
      </c>
      <c r="C50" s="29" t="n">
        <v>548.8</v>
      </c>
      <c r="E50" s="30">
        <f>C50-B50</f>
        <v/>
      </c>
    </row>
    <row r="51">
      <c r="A51" s="10" t="n">
        <v>42979</v>
      </c>
      <c r="B51" s="18" t="n">
        <v>373.8</v>
      </c>
      <c r="C51" s="18" t="n">
        <v>373.8</v>
      </c>
      <c r="E51" s="30">
        <f>C51-B51</f>
        <v/>
      </c>
    </row>
    <row r="52">
      <c r="A52" s="8" t="n">
        <v>43009</v>
      </c>
      <c r="B52" s="29" t="n">
        <v>419.6</v>
      </c>
      <c r="C52" s="29" t="n">
        <v>419.6</v>
      </c>
      <c r="E52" s="30">
        <f>C52-B52</f>
        <v/>
      </c>
    </row>
    <row r="53">
      <c r="A53" s="10" t="n">
        <v>43040</v>
      </c>
      <c r="B53" s="18" t="n">
        <v>523.3</v>
      </c>
      <c r="C53" s="18" t="n">
        <v>523.3</v>
      </c>
      <c r="E53" s="30">
        <f>C53-B53</f>
        <v/>
      </c>
    </row>
    <row r="54">
      <c r="A54" s="8" t="n">
        <v>43070</v>
      </c>
      <c r="B54" s="29" t="n">
        <v>1756.2</v>
      </c>
      <c r="C54" s="29" t="n">
        <v>172.6</v>
      </c>
      <c r="E54" s="30">
        <f>C54-B54</f>
        <v/>
      </c>
    </row>
    <row r="55">
      <c r="A55" s="10" t="n">
        <v>43101</v>
      </c>
      <c r="B55" s="18" t="n">
        <v>450.7</v>
      </c>
      <c r="C55" s="18" t="n">
        <v>450.7</v>
      </c>
      <c r="E55" s="30">
        <f>C55-B55</f>
        <v/>
      </c>
    </row>
    <row r="56">
      <c r="A56" s="8" t="n">
        <v>43132</v>
      </c>
      <c r="B56" s="29" t="n">
        <v>561.5</v>
      </c>
      <c r="C56" s="29" t="n">
        <v>561.5</v>
      </c>
      <c r="E56" s="30">
        <f>C56-B56</f>
        <v/>
      </c>
    </row>
    <row r="57">
      <c r="A57" s="10" t="n">
        <v>43160</v>
      </c>
      <c r="B57" s="18" t="n">
        <v>347.5</v>
      </c>
      <c r="C57" s="18" t="n">
        <v>347.5</v>
      </c>
      <c r="E57" s="30">
        <f>C57-B57</f>
        <v/>
      </c>
    </row>
    <row r="58">
      <c r="A58" s="8" t="n">
        <v>43191</v>
      </c>
      <c r="B58" s="29" t="n">
        <v>641.3</v>
      </c>
      <c r="C58" s="29" t="n">
        <v>641.3</v>
      </c>
      <c r="E58" s="30">
        <f>C58-B58</f>
        <v/>
      </c>
    </row>
    <row r="59">
      <c r="A59" s="10" t="n">
        <v>43221</v>
      </c>
      <c r="B59" s="18" t="n">
        <v>774.3</v>
      </c>
      <c r="C59" s="18" t="n">
        <v>774.3</v>
      </c>
      <c r="E59" s="30">
        <f>C59-B59</f>
        <v/>
      </c>
    </row>
    <row r="60">
      <c r="A60" s="8" t="n">
        <v>43252</v>
      </c>
      <c r="B60" s="29" t="n">
        <v>477.8</v>
      </c>
      <c r="C60" s="29" t="n">
        <v>477.8</v>
      </c>
      <c r="E60" s="30">
        <f>C60-B60</f>
        <v/>
      </c>
    </row>
    <row r="61">
      <c r="A61" s="10" t="n">
        <v>43282</v>
      </c>
      <c r="B61" s="18" t="n">
        <v>500.9</v>
      </c>
      <c r="C61" s="18" t="n">
        <v>500.9</v>
      </c>
      <c r="E61" s="30">
        <f>C61-B61</f>
        <v/>
      </c>
    </row>
    <row r="62">
      <c r="A62" s="8" t="n">
        <v>43313</v>
      </c>
      <c r="B62" s="29" t="n">
        <v>490.3</v>
      </c>
      <c r="C62" s="29" t="n">
        <v>490.3</v>
      </c>
      <c r="E62" s="30">
        <f>C62-B62</f>
        <v/>
      </c>
    </row>
    <row r="63">
      <c r="A63" s="10" t="n">
        <v>43344</v>
      </c>
      <c r="B63" s="18" t="n">
        <v>376.8</v>
      </c>
      <c r="C63" s="18" t="n">
        <v>376.8</v>
      </c>
      <c r="E63" s="30">
        <f>C63-B63</f>
        <v/>
      </c>
    </row>
    <row r="64">
      <c r="A64" s="8" t="n">
        <v>43374</v>
      </c>
      <c r="B64" s="29" t="n">
        <v>437.7</v>
      </c>
      <c r="C64" s="29" t="n">
        <v>437.7</v>
      </c>
      <c r="E64" s="30">
        <f>C64-B64</f>
        <v/>
      </c>
    </row>
    <row r="65">
      <c r="A65" s="10" t="n">
        <v>43405</v>
      </c>
      <c r="B65" s="18" t="n">
        <v>333.3</v>
      </c>
      <c r="C65" s="18" t="n">
        <v>333.3</v>
      </c>
      <c r="E65" s="30">
        <f>C65-B65</f>
        <v/>
      </c>
    </row>
    <row r="66">
      <c r="A66" s="8" t="n">
        <v>43435</v>
      </c>
      <c r="B66" s="29" t="n">
        <v>488.7</v>
      </c>
      <c r="C66" s="29" t="n">
        <v>488.7</v>
      </c>
      <c r="E66" s="30">
        <f>C66-B66</f>
        <v/>
      </c>
    </row>
    <row r="67">
      <c r="A67" s="10" t="n">
        <v>43466</v>
      </c>
      <c r="B67" s="18" t="n">
        <v>437.4</v>
      </c>
      <c r="C67" s="18" t="n">
        <v>437.4</v>
      </c>
      <c r="E67" s="30">
        <f>C67-B67</f>
        <v/>
      </c>
    </row>
    <row r="68">
      <c r="A68" s="8" t="n">
        <v>43497</v>
      </c>
      <c r="B68" s="29" t="n">
        <v>335.1</v>
      </c>
      <c r="C68" s="29" t="n">
        <v>335.1</v>
      </c>
      <c r="E68" s="30">
        <f>C68-B68</f>
        <v/>
      </c>
    </row>
    <row r="69">
      <c r="A69" s="10" t="n">
        <v>43525</v>
      </c>
      <c r="B69" s="18" t="n">
        <v>392.9</v>
      </c>
      <c r="C69" s="18" t="n">
        <v>392.9</v>
      </c>
      <c r="E69" s="30">
        <f>C69-B69</f>
        <v/>
      </c>
    </row>
    <row r="70">
      <c r="A70" s="8" t="n">
        <v>43556</v>
      </c>
      <c r="B70" s="29" t="n">
        <v>412.5</v>
      </c>
      <c r="C70" s="29" t="n">
        <v>412.5</v>
      </c>
      <c r="E70" s="30">
        <f>C70-B70</f>
        <v/>
      </c>
    </row>
    <row r="71">
      <c r="A71" s="10" t="n">
        <v>43586</v>
      </c>
      <c r="B71" s="18" t="n">
        <v>520.2</v>
      </c>
      <c r="C71" s="18" t="n">
        <v>520.2</v>
      </c>
      <c r="E71" s="30">
        <f>C71-B71</f>
        <v/>
      </c>
    </row>
    <row r="72">
      <c r="A72" s="8" t="n">
        <v>43617</v>
      </c>
      <c r="B72" s="29" t="n">
        <v>447.6</v>
      </c>
      <c r="C72" s="29" t="n">
        <v>447.6</v>
      </c>
      <c r="E72" s="30">
        <f>C72-B72</f>
        <v/>
      </c>
    </row>
    <row r="73">
      <c r="A73" s="10" t="n">
        <v>43647</v>
      </c>
      <c r="B73" s="18" t="n">
        <v>411.1</v>
      </c>
      <c r="C73" s="18" t="n">
        <v>411.1</v>
      </c>
      <c r="E73" s="30">
        <f>C73-B73</f>
        <v/>
      </c>
    </row>
    <row r="74">
      <c r="A74" s="8" t="n">
        <v>43678</v>
      </c>
      <c r="B74" s="29" t="n">
        <v>522.1</v>
      </c>
      <c r="C74" s="29" t="n">
        <v>522.1</v>
      </c>
      <c r="E74" s="30">
        <f>C74-B74</f>
        <v/>
      </c>
    </row>
    <row r="75">
      <c r="A75" s="10" t="n">
        <v>43709</v>
      </c>
      <c r="B75" s="18" t="n">
        <v>435.4</v>
      </c>
      <c r="C75" s="18" t="n">
        <v>435.4</v>
      </c>
      <c r="E75" s="30">
        <f>C75-B75</f>
        <v/>
      </c>
    </row>
    <row r="76">
      <c r="A76" s="8" t="n">
        <v>43739</v>
      </c>
      <c r="B76" s="29" t="n">
        <v>575.7</v>
      </c>
      <c r="C76" s="29" t="n">
        <v>575.7</v>
      </c>
      <c r="E76" s="30">
        <f>C76-B76</f>
        <v/>
      </c>
    </row>
    <row r="77">
      <c r="A77" s="10" t="n">
        <v>43770</v>
      </c>
      <c r="B77" s="18" t="n">
        <v>326.2</v>
      </c>
      <c r="C77" s="18" t="n">
        <v>326.2</v>
      </c>
      <c r="E77" s="30">
        <f>C77-B77</f>
        <v/>
      </c>
    </row>
    <row r="78">
      <c r="A78" s="8" t="n">
        <v>43800</v>
      </c>
      <c r="B78" s="29" t="n">
        <v>336.9</v>
      </c>
      <c r="C78" s="29" t="n">
        <v>336.9</v>
      </c>
      <c r="E78" s="30">
        <f>C78-B78</f>
        <v/>
      </c>
    </row>
    <row r="79">
      <c r="A79" s="10" t="n">
        <v>43831</v>
      </c>
      <c r="B79" s="18" t="n">
        <v>684</v>
      </c>
      <c r="C79" s="18" t="n">
        <v>684</v>
      </c>
      <c r="E79" s="30">
        <f>C79-B79</f>
        <v/>
      </c>
    </row>
    <row r="80">
      <c r="A80" s="8" t="n">
        <v>43862</v>
      </c>
      <c r="B80" s="29" t="n">
        <v>313.4</v>
      </c>
      <c r="C80" s="29" t="n">
        <v>313.4</v>
      </c>
      <c r="E80" s="30">
        <f>C80-B80</f>
        <v/>
      </c>
    </row>
    <row r="81">
      <c r="A81" s="10" t="n">
        <v>43891</v>
      </c>
      <c r="B81" s="18" t="n">
        <v>375.8</v>
      </c>
      <c r="C81" s="18" t="n">
        <v>375.8</v>
      </c>
      <c r="E81" s="30">
        <f>C81-B81</f>
        <v/>
      </c>
    </row>
    <row r="82">
      <c r="A82" s="8" t="n">
        <v>43922</v>
      </c>
      <c r="B82" s="29" t="n">
        <v>375.3</v>
      </c>
      <c r="C82" s="29" t="n">
        <v>375.3</v>
      </c>
      <c r="E82" s="30">
        <f>C82-B82</f>
        <v/>
      </c>
    </row>
    <row r="83">
      <c r="A83" s="10" t="n">
        <v>43952</v>
      </c>
      <c r="B83" s="18" t="n">
        <v>361.9</v>
      </c>
      <c r="C83" s="18" t="n">
        <v>361.9</v>
      </c>
      <c r="E83" s="30">
        <f>C83-B83</f>
        <v/>
      </c>
    </row>
    <row r="84">
      <c r="A84" s="8" t="n">
        <v>43983</v>
      </c>
      <c r="B84" s="29" t="n">
        <v>444.7</v>
      </c>
      <c r="C84" s="29" t="n">
        <v>444.7</v>
      </c>
      <c r="E84" s="30">
        <f>C84-B84</f>
        <v/>
      </c>
    </row>
    <row r="85">
      <c r="A85" s="10" t="n">
        <v>44013</v>
      </c>
      <c r="B85" s="18" t="n">
        <v>439.3</v>
      </c>
      <c r="C85" s="18" t="n">
        <v>439.3</v>
      </c>
      <c r="E85" s="30">
        <f>C85-B85</f>
        <v/>
      </c>
    </row>
    <row r="86">
      <c r="A86" s="8" t="n">
        <v>44044</v>
      </c>
      <c r="B86" s="29" t="n">
        <v>198.7</v>
      </c>
      <c r="C86" s="29" t="n">
        <v>198.7</v>
      </c>
      <c r="E86" s="30">
        <f>C86-B86</f>
        <v/>
      </c>
    </row>
    <row r="87">
      <c r="A87" s="10" t="n">
        <v>44075</v>
      </c>
      <c r="B87" s="18" t="n">
        <v>350.3</v>
      </c>
      <c r="C87" s="18" t="n">
        <v>350.3</v>
      </c>
      <c r="E87" s="30">
        <f>C87-B87</f>
        <v/>
      </c>
    </row>
    <row r="88">
      <c r="A88" s="8" t="n">
        <v>44105</v>
      </c>
      <c r="B88" s="29" t="n">
        <v>336.6</v>
      </c>
      <c r="C88" s="29" t="n">
        <v>336.6</v>
      </c>
      <c r="E88" s="30">
        <f>C88-B88</f>
        <v/>
      </c>
    </row>
    <row r="89">
      <c r="A89" s="10" t="n">
        <v>44136</v>
      </c>
      <c r="B89" s="18" t="n">
        <v>447.9</v>
      </c>
      <c r="C89" s="18" t="n">
        <v>447.9</v>
      </c>
      <c r="E89" s="30">
        <f>C89-B89</f>
        <v/>
      </c>
    </row>
    <row r="90">
      <c r="A90" s="8" t="n">
        <v>44166</v>
      </c>
      <c r="B90" s="29" t="n">
        <v>371.4</v>
      </c>
      <c r="C90" s="29" t="n">
        <v>371.4</v>
      </c>
      <c r="E90" s="30">
        <f>C90-B90</f>
        <v/>
      </c>
    </row>
    <row r="91">
      <c r="A91" s="10" t="n">
        <v>44197</v>
      </c>
      <c r="B91" s="18" t="n">
        <v>490.1</v>
      </c>
      <c r="C91" s="18" t="n">
        <v>490.1</v>
      </c>
      <c r="E91" s="30">
        <f>C91-B91</f>
        <v/>
      </c>
    </row>
    <row r="92">
      <c r="A92" s="8" t="n">
        <v>44228</v>
      </c>
      <c r="B92" s="29" t="n">
        <v>504.8</v>
      </c>
      <c r="C92" s="29" t="n">
        <v>504.8</v>
      </c>
      <c r="E92" s="30">
        <f>C92-B92</f>
        <v/>
      </c>
    </row>
    <row r="93">
      <c r="A93" s="10" t="n">
        <v>44256</v>
      </c>
      <c r="B93" s="18" t="n">
        <v>512.7</v>
      </c>
      <c r="C93" s="18" t="n">
        <v>512.7</v>
      </c>
      <c r="E93" s="30">
        <f>C93-B93</f>
        <v/>
      </c>
    </row>
    <row r="94">
      <c r="A94" s="8" t="n">
        <v>44287</v>
      </c>
      <c r="B94" s="29" t="n">
        <v>781.5</v>
      </c>
      <c r="C94" s="29" t="n">
        <v>781.5</v>
      </c>
      <c r="E94" s="30">
        <f>C94-B94</f>
        <v/>
      </c>
    </row>
    <row r="95">
      <c r="A95" s="10" t="n">
        <v>44317</v>
      </c>
      <c r="B95" s="18" t="n">
        <v>287.3</v>
      </c>
      <c r="C95" s="18" t="n">
        <v>287.3</v>
      </c>
      <c r="E95" s="30">
        <f>C95-B95</f>
        <v/>
      </c>
    </row>
    <row r="96">
      <c r="A96" s="8" t="n">
        <v>44348</v>
      </c>
      <c r="B96" s="29" t="n">
        <v>386</v>
      </c>
      <c r="C96" s="29" t="n">
        <v>386</v>
      </c>
      <c r="E96" s="30">
        <f>C96-B96</f>
        <v/>
      </c>
    </row>
    <row r="97">
      <c r="A97" s="10" t="n">
        <v>44378</v>
      </c>
      <c r="B97" s="18" t="n">
        <v>397.7</v>
      </c>
      <c r="C97" s="18" t="n">
        <v>397.7</v>
      </c>
      <c r="E97" s="30">
        <f>C97-B97</f>
        <v/>
      </c>
    </row>
    <row r="98">
      <c r="A98" s="8" t="n">
        <v>44409</v>
      </c>
      <c r="B98" s="29" t="n">
        <v>431.4</v>
      </c>
      <c r="C98" s="29" t="n">
        <v>431.4</v>
      </c>
      <c r="E98" s="30">
        <f>C98-B98</f>
        <v/>
      </c>
    </row>
    <row r="99">
      <c r="A99" s="10" t="n">
        <v>44440</v>
      </c>
      <c r="B99" s="18" t="n">
        <v>658.1</v>
      </c>
      <c r="C99" s="18" t="n">
        <v>658.1</v>
      </c>
      <c r="E99" s="30">
        <f>C99-B99</f>
        <v/>
      </c>
    </row>
    <row r="100">
      <c r="A100" s="8" t="n">
        <v>44470</v>
      </c>
      <c r="B100" s="29" t="n">
        <v>640.5</v>
      </c>
      <c r="C100" s="29" t="n">
        <v>640.5</v>
      </c>
      <c r="E100" s="30">
        <f>C100-B100</f>
        <v/>
      </c>
    </row>
    <row r="101">
      <c r="A101" s="10" t="n">
        <v>44501</v>
      </c>
      <c r="B101" s="18" t="n">
        <v>584.6</v>
      </c>
      <c r="C101" s="18" t="n">
        <v>584.6</v>
      </c>
      <c r="E101" s="30">
        <f>C101-B101</f>
        <v/>
      </c>
    </row>
    <row r="102">
      <c r="A102" s="8" t="n">
        <v>44531</v>
      </c>
      <c r="B102" s="29" t="n">
        <v>564.8</v>
      </c>
      <c r="C102" s="29" t="n">
        <v>564.8</v>
      </c>
      <c r="E102" s="30">
        <f>C102-B102</f>
        <v/>
      </c>
    </row>
    <row r="103">
      <c r="A103" s="10" t="n">
        <v>44562</v>
      </c>
      <c r="B103" s="18" t="n">
        <v>487.4</v>
      </c>
      <c r="C103" s="18" t="n">
        <v>487.4</v>
      </c>
      <c r="E103" s="30">
        <f>C103-B103</f>
        <v/>
      </c>
    </row>
    <row r="104">
      <c r="A104" s="8" t="n">
        <v>44593</v>
      </c>
      <c r="B104" s="29" t="n">
        <v>439.7</v>
      </c>
      <c r="C104" s="29" t="n">
        <v>439.7</v>
      </c>
      <c r="E104" s="30">
        <f>C104-B104</f>
        <v/>
      </c>
    </row>
    <row r="105">
      <c r="A105" s="10" t="n">
        <v>44621</v>
      </c>
      <c r="B105" s="18" t="n">
        <v>590.7</v>
      </c>
      <c r="C105" s="18" t="n">
        <v>590.7</v>
      </c>
      <c r="E105" s="30">
        <f>C105-B105</f>
        <v/>
      </c>
    </row>
    <row r="106">
      <c r="A106" s="8" t="n">
        <v>44652</v>
      </c>
      <c r="B106" s="29" t="n">
        <v>94.59999999999999</v>
      </c>
      <c r="C106" s="29" t="n">
        <v>94.59999999999999</v>
      </c>
      <c r="E106" s="30">
        <f>C106-B106</f>
        <v/>
      </c>
    </row>
    <row r="107">
      <c r="A107" s="10" t="n">
        <v>44682</v>
      </c>
      <c r="B107" s="18" t="n">
        <v>108.2</v>
      </c>
      <c r="C107" s="18" t="n">
        <v>108.2</v>
      </c>
      <c r="E107" s="30">
        <f>C107-B107</f>
        <v/>
      </c>
    </row>
    <row r="108">
      <c r="A108" s="8" t="n">
        <v>44713</v>
      </c>
      <c r="B108" s="29" t="n">
        <v>97.3</v>
      </c>
      <c r="C108" s="29" t="n">
        <v>97.3</v>
      </c>
      <c r="E108" s="30">
        <f>C108-B108</f>
        <v/>
      </c>
    </row>
    <row r="109">
      <c r="A109" s="10" t="n">
        <v>44743</v>
      </c>
      <c r="B109" s="18" t="n">
        <v>102</v>
      </c>
      <c r="C109" s="18" t="n">
        <v>102</v>
      </c>
      <c r="E109" s="30">
        <f>C109-B109</f>
        <v/>
      </c>
    </row>
    <row r="110">
      <c r="A110" s="8" t="n">
        <v>44774</v>
      </c>
      <c r="B110" s="29" t="n">
        <v>110.4</v>
      </c>
      <c r="C110" s="29" t="n">
        <v>110.4</v>
      </c>
      <c r="E110" s="30">
        <f>C110-B110</f>
        <v/>
      </c>
    </row>
    <row r="111">
      <c r="A111" s="10" t="n">
        <v>44805</v>
      </c>
      <c r="B111" s="18" t="n">
        <v>218.8</v>
      </c>
      <c r="C111" s="18" t="n">
        <v>218.8</v>
      </c>
      <c r="E111" s="30">
        <f>C111-B111</f>
        <v/>
      </c>
    </row>
    <row r="112">
      <c r="A112" s="8" t="n">
        <v>44835</v>
      </c>
      <c r="B112" s="29" t="n">
        <v>514.7</v>
      </c>
      <c r="C112" s="29" t="n">
        <v>514.7</v>
      </c>
      <c r="E112" s="30">
        <f>C112-B112</f>
        <v/>
      </c>
    </row>
    <row r="113">
      <c r="A113" s="10" t="n">
        <v>44866</v>
      </c>
      <c r="B113" s="18" t="n">
        <v>640.1</v>
      </c>
      <c r="C113" s="18" t="n">
        <v>640.1</v>
      </c>
      <c r="E113" s="30">
        <f>C113-B113</f>
        <v/>
      </c>
    </row>
    <row r="114">
      <c r="A114" s="8" t="n">
        <v>44896</v>
      </c>
      <c r="B114" s="29" t="n">
        <v>902</v>
      </c>
      <c r="C114" s="29" t="n">
        <v>902</v>
      </c>
      <c r="E114" s="30">
        <f>C114-B114</f>
        <v/>
      </c>
    </row>
    <row r="115">
      <c r="A115" s="10" t="n">
        <v>44927</v>
      </c>
      <c r="B115" s="18" t="n">
        <v>839.7</v>
      </c>
      <c r="C115" s="18" t="n">
        <v>839.7</v>
      </c>
      <c r="E115" s="30">
        <f>C115-B115</f>
        <v/>
      </c>
    </row>
    <row r="116">
      <c r="A116" s="8" t="n">
        <v>44958</v>
      </c>
      <c r="B116" s="29" t="n">
        <v>398.7</v>
      </c>
      <c r="C116" s="29" t="n">
        <v>398.7</v>
      </c>
      <c r="E116" s="30">
        <f>C116-B116</f>
        <v/>
      </c>
    </row>
    <row r="117">
      <c r="A117" s="10" t="n">
        <v>44986</v>
      </c>
      <c r="B117" s="18" t="n">
        <v>360.7</v>
      </c>
      <c r="C117" s="18" t="n">
        <v>360.7</v>
      </c>
      <c r="E117" s="30">
        <f>C117-B117</f>
        <v/>
      </c>
    </row>
    <row r="118">
      <c r="A118" s="8" t="n">
        <v>45017</v>
      </c>
      <c r="B118" s="29" t="n">
        <v>635.1</v>
      </c>
      <c r="C118" s="29" t="n">
        <v>635.1</v>
      </c>
      <c r="E118" s="30">
        <f>C118-B118</f>
        <v/>
      </c>
    </row>
    <row r="119">
      <c r="A119" s="10" t="n">
        <v>45047</v>
      </c>
      <c r="B119" s="18" t="n">
        <v>471.3</v>
      </c>
      <c r="C119" s="18" t="n">
        <v>471.3</v>
      </c>
      <c r="E119" s="30">
        <f>C119-B119</f>
        <v/>
      </c>
    </row>
    <row r="120">
      <c r="A120" s="8" t="n">
        <v>45078</v>
      </c>
      <c r="B120" s="29" t="n">
        <v>593.4</v>
      </c>
      <c r="C120" s="29" t="n">
        <v>593.4</v>
      </c>
      <c r="E120" s="30">
        <f>C120-B120</f>
        <v/>
      </c>
    </row>
    <row r="121">
      <c r="A121" s="10" t="n">
        <v>45108</v>
      </c>
      <c r="B121" s="18" t="n">
        <v>730.2</v>
      </c>
      <c r="C121" s="18" t="n">
        <v>730.2</v>
      </c>
      <c r="E121" s="30">
        <f>C121-B121</f>
        <v/>
      </c>
    </row>
    <row r="122">
      <c r="A122" s="8" t="n">
        <v>45139</v>
      </c>
      <c r="B122" s="29" t="n">
        <v>724.9</v>
      </c>
      <c r="C122" s="29" t="n">
        <v>724.9</v>
      </c>
      <c r="E122" s="30">
        <f>C122-B122</f>
        <v/>
      </c>
    </row>
    <row r="123">
      <c r="A123" s="10" t="n">
        <v>45170</v>
      </c>
      <c r="B123" s="18" t="n">
        <v>703.3</v>
      </c>
      <c r="C123" s="18" t="n">
        <v>703.3</v>
      </c>
      <c r="E123" s="30">
        <f>C123-B123</f>
        <v/>
      </c>
    </row>
    <row r="124">
      <c r="A124" s="8" t="n">
        <v>45200</v>
      </c>
      <c r="B124" s="29" t="n">
        <v>661.2</v>
      </c>
      <c r="C124" s="29" t="n">
        <v>661.2</v>
      </c>
      <c r="E124" s="30">
        <f>C124-B124</f>
        <v/>
      </c>
    </row>
    <row r="125">
      <c r="A125" s="10" t="n">
        <v>45231</v>
      </c>
      <c r="B125" s="18" t="n">
        <v>848</v>
      </c>
      <c r="C125" s="18" t="n">
        <v>848</v>
      </c>
      <c r="E125" s="30">
        <f>C125-B125</f>
        <v/>
      </c>
    </row>
    <row r="126">
      <c r="A126" s="8" t="n">
        <v>45261</v>
      </c>
      <c r="B126" s="29" t="n">
        <v>921.2</v>
      </c>
      <c r="C126" s="29" t="n">
        <v>921.2</v>
      </c>
      <c r="E126" s="30">
        <f>C126-B126</f>
        <v/>
      </c>
    </row>
    <row r="127">
      <c r="A127" s="10" t="n">
        <v>45292</v>
      </c>
      <c r="B127" s="18" t="n">
        <v>1058.3</v>
      </c>
      <c r="C127" s="18" t="n">
        <v>1058.3</v>
      </c>
      <c r="E127" s="30">
        <f>C127-B127</f>
        <v/>
      </c>
    </row>
    <row r="128">
      <c r="A128" s="8" t="n">
        <v>45323</v>
      </c>
      <c r="B128" s="29" t="n">
        <v>813.6</v>
      </c>
      <c r="C128" s="29" t="n">
        <v>813.6</v>
      </c>
      <c r="E128" s="30">
        <f>C128-B128</f>
        <v/>
      </c>
    </row>
    <row r="129">
      <c r="A129" s="10" t="n">
        <v>45352</v>
      </c>
      <c r="B129" s="18" t="n">
        <v>711.4</v>
      </c>
      <c r="C129" s="18" t="n">
        <v>711.4</v>
      </c>
      <c r="E129" s="30">
        <f>C129-B129</f>
        <v/>
      </c>
    </row>
    <row r="130">
      <c r="A130" s="8" t="n">
        <v>45383</v>
      </c>
      <c r="B130" s="29" t="n">
        <v>924.6</v>
      </c>
      <c r="C130" s="29" t="n">
        <v>924.6</v>
      </c>
      <c r="E130" s="30">
        <f>C130-B130</f>
        <v/>
      </c>
    </row>
    <row r="131">
      <c r="A131" s="10" t="n">
        <v>45413</v>
      </c>
      <c r="B131" s="18" t="n">
        <v>983.6</v>
      </c>
      <c r="C131" s="18" t="n">
        <v>983.6</v>
      </c>
      <c r="E131" s="30">
        <f>C131-B131</f>
        <v/>
      </c>
    </row>
    <row r="132">
      <c r="A132" s="8" t="n">
        <v>45444</v>
      </c>
      <c r="B132" s="29" t="n">
        <v>909.2</v>
      </c>
      <c r="C132" s="29" t="n">
        <v>909.2</v>
      </c>
      <c r="E132" s="30">
        <f>C132-B132</f>
        <v/>
      </c>
    </row>
    <row r="133">
      <c r="A133" s="10" t="n">
        <v>45474</v>
      </c>
      <c r="B133" s="18" t="n">
        <v>982.8</v>
      </c>
      <c r="C133" s="18" t="n">
        <v>982.8</v>
      </c>
      <c r="E133" s="30">
        <f>C133-B133</f>
        <v/>
      </c>
    </row>
    <row r="134">
      <c r="A134" s="8" t="n">
        <v>45505</v>
      </c>
      <c r="B134" s="29" t="n">
        <v>1078.5</v>
      </c>
      <c r="C134" s="29" t="n">
        <v>1078.5</v>
      </c>
      <c r="E134" s="30">
        <f>C134-B134</f>
        <v/>
      </c>
    </row>
    <row r="135">
      <c r="A135" s="10" t="n">
        <v>45536</v>
      </c>
      <c r="B135" s="18" t="n">
        <v>105.2</v>
      </c>
      <c r="C135" s="18" t="n">
        <v>105.2</v>
      </c>
      <c r="E135" s="30">
        <f>C135-B135</f>
        <v/>
      </c>
    </row>
    <row r="136">
      <c r="A136" s="8" t="n">
        <v>45566</v>
      </c>
      <c r="B136" s="29" t="n">
        <v>1070.1</v>
      </c>
      <c r="C136" s="29" t="n">
        <v>1070.1</v>
      </c>
      <c r="E136" s="30">
        <f>C136-B136</f>
        <v/>
      </c>
    </row>
    <row r="137">
      <c r="A137" s="10" t="n">
        <v>45597</v>
      </c>
      <c r="B137" s="18" t="n">
        <v>1176.5</v>
      </c>
      <c r="C137" s="18" t="n">
        <v>1176.5</v>
      </c>
      <c r="E137" s="30">
        <f>C137-B137</f>
        <v/>
      </c>
    </row>
    <row r="138">
      <c r="A138" s="8" t="n">
        <v>45627</v>
      </c>
      <c r="B138" s="29" t="n">
        <v>1150.2</v>
      </c>
      <c r="C138" s="29" t="n">
        <v>1150.2</v>
      </c>
      <c r="E138" s="30">
        <f>C138-B138</f>
        <v/>
      </c>
    </row>
    <row r="139">
      <c r="A139" s="10" t="n">
        <v>45658</v>
      </c>
      <c r="B139" s="18" t="n">
        <v>898.6</v>
      </c>
      <c r="C139" s="18" t="n">
        <v>898.6</v>
      </c>
      <c r="E139" s="30">
        <f>C139-B139</f>
        <v/>
      </c>
    </row>
    <row r="140">
      <c r="A140" s="8" t="n">
        <v>45689</v>
      </c>
      <c r="B140" s="29" t="n">
        <v>804.6</v>
      </c>
      <c r="C140" s="29" t="n">
        <v>804.6</v>
      </c>
      <c r="E140" s="30">
        <f>C140-B140</f>
        <v/>
      </c>
    </row>
    <row r="141">
      <c r="A141" s="10" t="n">
        <v>45717</v>
      </c>
      <c r="B141" s="18" t="n">
        <v>746.5</v>
      </c>
      <c r="C141" s="18" t="n">
        <v>746.5</v>
      </c>
      <c r="E141" s="30">
        <f>C141-B141</f>
        <v/>
      </c>
    </row>
    <row r="142">
      <c r="A142" s="8" t="n">
        <v>45748</v>
      </c>
      <c r="B142" s="29" t="n">
        <v>882.3</v>
      </c>
      <c r="C142" s="29" t="n">
        <v>882.3</v>
      </c>
      <c r="E142" s="30">
        <f>C142-B142</f>
        <v/>
      </c>
    </row>
    <row r="143">
      <c r="A143" s="10" t="n">
        <v>45778</v>
      </c>
      <c r="B143" s="18" t="n">
        <v>577.8</v>
      </c>
      <c r="C143" s="18" t="n">
        <v>577.8</v>
      </c>
      <c r="E143" s="30">
        <f>C143-B143</f>
        <v/>
      </c>
    </row>
    <row r="144">
      <c r="A144" s="8" t="n">
        <v>45809</v>
      </c>
      <c r="B144" s="29" t="n">
        <v>655.5</v>
      </c>
      <c r="C144" s="29" t="n">
        <v>655.5</v>
      </c>
      <c r="E144" s="30">
        <f>C144-B144</f>
        <v/>
      </c>
    </row>
    <row r="145">
      <c r="A145" s="10" t="n">
        <v>45839</v>
      </c>
      <c r="B145" s="18" t="n">
        <v>716.8</v>
      </c>
      <c r="C145" s="18" t="n">
        <v>716.8</v>
      </c>
      <c r="E145" s="30">
        <f>C145-B145</f>
        <v/>
      </c>
    </row>
    <row r="146">
      <c r="A146" s="8" t="n">
        <v>45870</v>
      </c>
      <c r="B146" s="29" t="n">
        <v>876.5</v>
      </c>
      <c r="C146" s="29" t="n">
        <v>876.5</v>
      </c>
      <c r="E146" s="30">
        <f>C146-B146</f>
        <v/>
      </c>
    </row>
    <row r="147">
      <c r="A147" s="10" t="n">
        <v>45901</v>
      </c>
      <c r="B147" s="18" t="n">
        <v>820.9</v>
      </c>
      <c r="C147" s="18" t="n">
        <v>820.9</v>
      </c>
      <c r="E147" s="30">
        <f>C147-B147</f>
        <v/>
      </c>
    </row>
    <row r="148">
      <c r="A148" s="8" t="n">
        <v>45931</v>
      </c>
      <c r="B148" s="29" t="n">
        <v>749.6</v>
      </c>
      <c r="C148" s="29" t="n">
        <v>749.6</v>
      </c>
      <c r="E148" s="30">
        <f>C148-B148</f>
        <v/>
      </c>
    </row>
    <row r="149">
      <c r="A149" s="10" t="n">
        <v>45962</v>
      </c>
      <c r="B149" s="18" t="n">
        <v>805.2</v>
      </c>
      <c r="C149" s="18" t="n">
        <v>805.2</v>
      </c>
      <c r="E149" s="30">
        <f>C149-B149</f>
        <v/>
      </c>
    </row>
    <row r="150">
      <c r="A150" s="8" t="n">
        <v>45992</v>
      </c>
      <c r="B150" s="29" t="n">
        <v>710.9</v>
      </c>
      <c r="C150" s="29" t="n">
        <v>710.9</v>
      </c>
      <c r="E150" s="30">
        <f>C150-B150</f>
        <v/>
      </c>
    </row>
    <row r="151">
      <c r="A151" s="10" t="n">
        <v>46023</v>
      </c>
      <c r="B151" s="18" t="n">
        <v>887.5</v>
      </c>
      <c r="C151" s="18" t="n">
        <v>887.5</v>
      </c>
      <c r="E151" s="30">
        <f>C151-B151</f>
        <v/>
      </c>
    </row>
    <row r="152">
      <c r="A152" s="8" t="n">
        <v>46054</v>
      </c>
      <c r="B152" s="29" t="n">
        <v>852.7</v>
      </c>
      <c r="C152" s="29" t="n">
        <v>852.7</v>
      </c>
      <c r="E152" s="30">
        <f>C152-B152</f>
        <v/>
      </c>
    </row>
    <row r="153">
      <c r="A153" s="10" t="n">
        <v>46082</v>
      </c>
      <c r="B153" s="18" t="n">
        <v>803</v>
      </c>
      <c r="C153" s="18" t="n">
        <v>803</v>
      </c>
      <c r="E153" s="30">
        <f>C153-B153</f>
        <v/>
      </c>
    </row>
    <row r="154">
      <c r="A154" s="8" t="n">
        <v>46113</v>
      </c>
      <c r="B154" s="29" t="n">
        <v>915</v>
      </c>
      <c r="C154" s="29" t="n">
        <v>915</v>
      </c>
      <c r="E154" s="30">
        <f>C154-B154</f>
        <v/>
      </c>
    </row>
    <row r="155">
      <c r="A155" s="10" t="n">
        <v>46143</v>
      </c>
      <c r="B155" s="18" t="n">
        <v>881.6</v>
      </c>
      <c r="C155" s="18" t="n">
        <v>881.6</v>
      </c>
      <c r="E155" s="30">
        <f>C155-B155</f>
        <v/>
      </c>
    </row>
    <row r="156">
      <c r="A156" s="8" t="n">
        <v>46174</v>
      </c>
      <c r="B156" s="29" t="n">
        <v>804.1</v>
      </c>
      <c r="C156" s="29" t="n">
        <v>804.1</v>
      </c>
      <c r="E156" s="30">
        <f>C156-B156</f>
        <v/>
      </c>
    </row>
    <row r="158">
      <c r="A158" s="2" t="inlineStr">
        <is>
          <t>Acumulado y promedio mensual de la serie ajustada. El acumulado dice cuánto entró en el año; el promedio permite comparar años con distinto número de meses reportados.</t>
        </is>
      </c>
    </row>
    <row r="159">
      <c r="A159" s="6" t="inlineStr">
        <is>
          <t>Año</t>
        </is>
      </c>
      <c r="B159" s="7" t="inlineStr">
        <is>
          <t>Meses</t>
        </is>
      </c>
      <c r="C159" s="7" t="inlineStr">
        <is>
          <t>Rango de meses</t>
        </is>
      </c>
      <c r="D159" s="7" t="inlineStr">
        <is>
          <t>Acumulado del año</t>
        </is>
      </c>
      <c r="E159" s="7" t="inlineStr">
        <is>
          <t>Promedio mensual</t>
        </is>
      </c>
    </row>
    <row r="160">
      <c r="A160" s="16" t="n">
        <v>2014</v>
      </c>
      <c r="B160" s="29" t="n">
        <v>12</v>
      </c>
      <c r="C160" s="29" t="inlineStr">
        <is>
          <t>ene a dic</t>
        </is>
      </c>
      <c r="D160" s="29" t="n">
        <v>9670.4</v>
      </c>
      <c r="E160" s="29" t="n">
        <v>805.9</v>
      </c>
    </row>
    <row r="161">
      <c r="A161" s="13" t="n">
        <v>2015</v>
      </c>
      <c r="B161" s="18" t="n">
        <v>12</v>
      </c>
      <c r="C161" s="18" t="inlineStr">
        <is>
          <t>ene a dic</t>
        </is>
      </c>
      <c r="D161" s="18" t="n">
        <v>7648.6</v>
      </c>
      <c r="E161" s="18" t="n">
        <v>637.4</v>
      </c>
    </row>
    <row r="162">
      <c r="A162" s="16" t="n">
        <v>2016</v>
      </c>
      <c r="B162" s="29" t="n">
        <v>12</v>
      </c>
      <c r="C162" s="29" t="inlineStr">
        <is>
          <t>ene a dic</t>
        </is>
      </c>
      <c r="D162" s="29" t="n">
        <v>6657.8</v>
      </c>
      <c r="E162" s="29" t="n">
        <v>554.8</v>
      </c>
    </row>
    <row r="163">
      <c r="A163" s="13" t="n">
        <v>2017</v>
      </c>
      <c r="B163" s="18" t="n">
        <v>12</v>
      </c>
      <c r="C163" s="18" t="inlineStr">
        <is>
          <t>ene a dic</t>
        </is>
      </c>
      <c r="D163" s="18" t="n">
        <v>5325.2</v>
      </c>
      <c r="E163" s="18" t="n">
        <v>443.8</v>
      </c>
    </row>
    <row r="164">
      <c r="A164" s="16" t="n">
        <v>2018</v>
      </c>
      <c r="B164" s="29" t="n">
        <v>12</v>
      </c>
      <c r="C164" s="29" t="inlineStr">
        <is>
          <t>ene a dic</t>
        </is>
      </c>
      <c r="D164" s="29" t="n">
        <v>5880.8</v>
      </c>
      <c r="E164" s="29" t="n">
        <v>490.1</v>
      </c>
    </row>
    <row r="165">
      <c r="A165" s="13" t="n">
        <v>2019</v>
      </c>
      <c r="B165" s="18" t="n">
        <v>12</v>
      </c>
      <c r="C165" s="18" t="inlineStr">
        <is>
          <t>ene a dic</t>
        </is>
      </c>
      <c r="D165" s="18" t="n">
        <v>5153.1</v>
      </c>
      <c r="E165" s="18" t="n">
        <v>429.4</v>
      </c>
    </row>
    <row r="166">
      <c r="A166" s="16" t="n">
        <v>2020</v>
      </c>
      <c r="B166" s="29" t="n">
        <v>12</v>
      </c>
      <c r="C166" s="29" t="inlineStr">
        <is>
          <t>ene a dic</t>
        </is>
      </c>
      <c r="D166" s="29" t="n">
        <v>4699.3</v>
      </c>
      <c r="E166" s="29" t="n">
        <v>391.6</v>
      </c>
    </row>
    <row r="167">
      <c r="A167" s="13" t="n">
        <v>2021</v>
      </c>
      <c r="B167" s="18" t="n">
        <v>12</v>
      </c>
      <c r="C167" s="18" t="inlineStr">
        <is>
          <t>ene a dic</t>
        </is>
      </c>
      <c r="D167" s="18" t="n">
        <v>6239.5</v>
      </c>
      <c r="E167" s="18" t="n">
        <v>520</v>
      </c>
    </row>
    <row r="168">
      <c r="A168" s="16" t="n">
        <v>2022</v>
      </c>
      <c r="B168" s="29" t="n">
        <v>12</v>
      </c>
      <c r="C168" s="29" t="inlineStr">
        <is>
          <t>ene a dic</t>
        </is>
      </c>
      <c r="D168" s="29" t="n">
        <v>4305.9</v>
      </c>
      <c r="E168" s="29" t="n">
        <v>358.8</v>
      </c>
    </row>
    <row r="169">
      <c r="A169" s="13" t="n">
        <v>2023</v>
      </c>
      <c r="B169" s="18" t="n">
        <v>12</v>
      </c>
      <c r="C169" s="18" t="inlineStr">
        <is>
          <t>ene a dic</t>
        </is>
      </c>
      <c r="D169" s="18" t="n">
        <v>7887.7</v>
      </c>
      <c r="E169" s="18" t="n">
        <v>657.3</v>
      </c>
    </row>
    <row r="170">
      <c r="A170" s="16" t="n">
        <v>2024</v>
      </c>
      <c r="B170" s="29" t="n">
        <v>12</v>
      </c>
      <c r="C170" s="29" t="inlineStr">
        <is>
          <t>ene a dic</t>
        </is>
      </c>
      <c r="D170" s="29" t="n">
        <v>10964</v>
      </c>
      <c r="E170" s="29" t="n">
        <v>913.7</v>
      </c>
    </row>
    <row r="171">
      <c r="A171" s="13" t="n">
        <v>2025</v>
      </c>
      <c r="B171" s="18" t="n">
        <v>12</v>
      </c>
      <c r="C171" s="18" t="inlineStr">
        <is>
          <t>ene a dic</t>
        </is>
      </c>
      <c r="D171" s="18" t="n">
        <v>9245.200000000001</v>
      </c>
      <c r="E171" s="18" t="n">
        <v>770.4</v>
      </c>
    </row>
    <row r="172">
      <c r="A172" s="16" t="n">
        <v>2026</v>
      </c>
      <c r="B172" s="29" t="n">
        <v>6</v>
      </c>
      <c r="C172" s="29" t="inlineStr">
        <is>
          <t>ene a jun</t>
        </is>
      </c>
      <c r="D172" s="29" t="n">
        <v>5143.9</v>
      </c>
      <c r="E172" s="29" t="n">
        <v>857.3</v>
      </c>
    </row>
    <row r="174">
      <c r="A174" s="2" t="inlineStr">
        <is>
          <t>Recaudación histórica de enero de 2014 a la fecha: 88,821.2 millones de pesos. Fuente: Secretaría de Hacienda y Crédito Público, nota metodológica sobre la recaudación del IEPS a combustibles fósiles, con datos de las Estadísticas Oportunas de Finanzas Públicas.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El IGAE como variable de actividad</t>
        </is>
      </c>
    </row>
    <row r="2">
      <c r="A2" s="2" t="inlineStr">
        <is>
          <t>Base 2018 = 100, serie desestacionalizada · la intensidad es combustible por unidad de actividad, 2019 = 100</t>
        </is>
      </c>
    </row>
    <row r="4">
      <c r="A4" s="2" t="inlineStr">
        <is>
          <t>Sirve para separar el efecto de la actividad económica del efecto del precio. Las gasolinas se comparan contra actividades terciarias y el diésel contra secundarias, porque responden a cosas distintas.</t>
        </is>
      </c>
    </row>
    <row r="6">
      <c r="A6" s="6" t="inlineStr">
        <is>
          <t>Mes</t>
        </is>
      </c>
      <c r="B6" s="7" t="inlineStr">
        <is>
          <t>IGAE total</t>
        </is>
      </c>
      <c r="C6" s="7" t="inlineStr">
        <is>
          <t>IGAE secundarias</t>
        </is>
      </c>
      <c r="D6" s="7" t="inlineStr">
        <is>
          <t>IGAE terciarias</t>
        </is>
      </c>
      <c r="E6" s="7" t="inlineStr">
        <is>
          <t>Intensidad gasolinas</t>
        </is>
      </c>
      <c r="F6" s="7" t="inlineStr">
        <is>
          <t>Intensidad diésel</t>
        </is>
      </c>
    </row>
    <row r="7">
      <c r="A7" s="10" t="n">
        <v>42736</v>
      </c>
      <c r="B7" s="11" t="n">
        <v>98.03</v>
      </c>
      <c r="C7" s="11" t="n">
        <v>100.65</v>
      </c>
      <c r="D7" s="11" t="n">
        <v>96.31</v>
      </c>
      <c r="E7" s="11" t="n">
        <v>93.42</v>
      </c>
      <c r="F7" s="11" t="n">
        <v>100.86</v>
      </c>
    </row>
    <row r="8">
      <c r="A8" s="8" t="n">
        <v>42767</v>
      </c>
      <c r="B8" s="9" t="n">
        <v>97.55</v>
      </c>
      <c r="C8" s="9" t="n">
        <v>100.19</v>
      </c>
      <c r="D8" s="9" t="n">
        <v>96.39</v>
      </c>
      <c r="E8" s="9" t="n">
        <v>93.81999999999999</v>
      </c>
      <c r="F8" s="9" t="n">
        <v>100.14</v>
      </c>
    </row>
    <row r="9">
      <c r="A9" s="10" t="n">
        <v>42795</v>
      </c>
      <c r="B9" s="11" t="n">
        <v>97.88</v>
      </c>
      <c r="C9" s="11" t="n">
        <v>100.89</v>
      </c>
      <c r="D9" s="11" t="n">
        <v>96.31</v>
      </c>
      <c r="E9" s="11" t="n">
        <v>94.81999999999999</v>
      </c>
      <c r="F9" s="11" t="n">
        <v>101.27</v>
      </c>
    </row>
    <row r="10">
      <c r="A10" s="8" t="n">
        <v>42826</v>
      </c>
      <c r="B10" s="9" t="n">
        <v>97.84999999999999</v>
      </c>
      <c r="C10" s="9" t="n">
        <v>99.79000000000001</v>
      </c>
      <c r="D10" s="9" t="n">
        <v>96.73999999999999</v>
      </c>
      <c r="E10" s="9" t="n">
        <v>101.3</v>
      </c>
      <c r="F10" s="9" t="n">
        <v>101.46</v>
      </c>
    </row>
    <row r="11">
      <c r="A11" s="10" t="n">
        <v>42856</v>
      </c>
      <c r="B11" s="11" t="n">
        <v>97.64</v>
      </c>
      <c r="C11" s="11" t="n">
        <v>99.83</v>
      </c>
      <c r="D11" s="11" t="n">
        <v>96.67</v>
      </c>
      <c r="E11" s="11" t="n">
        <v>94.54000000000001</v>
      </c>
      <c r="F11" s="11" t="n">
        <v>100.37</v>
      </c>
    </row>
    <row r="12">
      <c r="A12" s="8" t="n">
        <v>42887</v>
      </c>
      <c r="B12" s="9" t="n">
        <v>98.15000000000001</v>
      </c>
      <c r="C12" s="9" t="n">
        <v>99.91</v>
      </c>
      <c r="D12" s="9" t="n">
        <v>97.02</v>
      </c>
      <c r="E12" s="9" t="n">
        <v>94.83</v>
      </c>
      <c r="F12" s="9" t="n">
        <v>101.7</v>
      </c>
    </row>
    <row r="13">
      <c r="A13" s="10" t="n">
        <v>42917</v>
      </c>
      <c r="B13" s="11" t="n">
        <v>97.29000000000001</v>
      </c>
      <c r="C13" s="11" t="n">
        <v>99.12</v>
      </c>
      <c r="D13" s="11" t="n">
        <v>96.31</v>
      </c>
      <c r="E13" s="11" t="n">
        <v>95.45999999999999</v>
      </c>
      <c r="F13" s="11" t="n">
        <v>100.41</v>
      </c>
    </row>
    <row r="14">
      <c r="A14" s="8" t="n">
        <v>42948</v>
      </c>
      <c r="B14" s="9" t="n">
        <v>98.33</v>
      </c>
      <c r="C14" s="9" t="n">
        <v>99.73</v>
      </c>
      <c r="D14" s="9" t="n">
        <v>97.45</v>
      </c>
      <c r="E14" s="9" t="n">
        <v>94.26000000000001</v>
      </c>
      <c r="F14" s="9" t="n">
        <v>100.25</v>
      </c>
    </row>
    <row r="15">
      <c r="A15" s="10" t="n">
        <v>42979</v>
      </c>
      <c r="B15" s="11" t="n">
        <v>97.16</v>
      </c>
      <c r="C15" s="11" t="n">
        <v>98.75</v>
      </c>
      <c r="D15" s="11" t="n">
        <v>96.62</v>
      </c>
      <c r="E15" s="11" t="n">
        <v>95.23</v>
      </c>
      <c r="F15" s="11" t="n">
        <v>101.53</v>
      </c>
    </row>
    <row r="16">
      <c r="A16" s="8" t="n">
        <v>43009</v>
      </c>
      <c r="B16" s="9" t="n">
        <v>98.45999999999999</v>
      </c>
      <c r="C16" s="9" t="n">
        <v>99.86</v>
      </c>
      <c r="D16" s="9" t="n">
        <v>97.53</v>
      </c>
      <c r="E16" s="9" t="n">
        <v>94.88</v>
      </c>
      <c r="F16" s="9" t="n">
        <v>99.59</v>
      </c>
    </row>
    <row r="17">
      <c r="A17" s="10" t="n">
        <v>43040</v>
      </c>
      <c r="B17" s="11" t="n">
        <v>99.2</v>
      </c>
      <c r="C17" s="11" t="n">
        <v>100.03</v>
      </c>
      <c r="D17" s="11" t="n">
        <v>98.44</v>
      </c>
      <c r="E17" s="11" t="n">
        <v>94.41</v>
      </c>
      <c r="F17" s="11" t="n">
        <v>100.96</v>
      </c>
    </row>
    <row r="18">
      <c r="A18" s="8" t="n">
        <v>43070</v>
      </c>
      <c r="B18" s="9" t="n">
        <v>99.84</v>
      </c>
      <c r="C18" s="9" t="n">
        <v>100.74</v>
      </c>
      <c r="D18" s="9" t="n">
        <v>99.43000000000001</v>
      </c>
      <c r="E18" s="9" t="n">
        <v>95.64</v>
      </c>
      <c r="F18" s="9" t="n">
        <v>99.45999999999999</v>
      </c>
    </row>
    <row r="19">
      <c r="A19" s="10" t="n">
        <v>43101</v>
      </c>
      <c r="B19" s="11" t="n">
        <v>99.12</v>
      </c>
      <c r="C19" s="11" t="n">
        <v>99.84</v>
      </c>
      <c r="D19" s="11" t="n">
        <v>98.55</v>
      </c>
      <c r="E19" s="11" t="n">
        <v>96.19</v>
      </c>
      <c r="F19" s="11" t="n">
        <v>99.17</v>
      </c>
    </row>
    <row r="20">
      <c r="A20" s="8" t="n">
        <v>43132</v>
      </c>
      <c r="B20" s="9" t="n">
        <v>99.66</v>
      </c>
      <c r="C20" s="9" t="n">
        <v>100.27</v>
      </c>
      <c r="D20" s="9" t="n">
        <v>99.27</v>
      </c>
      <c r="E20" s="9" t="n">
        <v>88.03</v>
      </c>
      <c r="F20" s="9" t="n">
        <v>93.63</v>
      </c>
    </row>
    <row r="21">
      <c r="A21" s="10" t="n">
        <v>43160</v>
      </c>
      <c r="B21" s="11" t="n">
        <v>100.34</v>
      </c>
      <c r="C21" s="11" t="n">
        <v>100.32</v>
      </c>
      <c r="D21" s="11" t="n">
        <v>100.35</v>
      </c>
      <c r="E21" s="11" t="n">
        <v>84.67</v>
      </c>
      <c r="F21" s="11" t="n">
        <v>89.19</v>
      </c>
    </row>
    <row r="22">
      <c r="A22" s="8" t="n">
        <v>43191</v>
      </c>
      <c r="B22" s="9" t="n">
        <v>99.44</v>
      </c>
      <c r="C22" s="9" t="n">
        <v>98.98999999999999</v>
      </c>
      <c r="D22" s="9" t="n">
        <v>99.44</v>
      </c>
      <c r="E22" s="9" t="n">
        <v>96.81999999999999</v>
      </c>
      <c r="F22" s="9" t="n">
        <v>101.42</v>
      </c>
    </row>
    <row r="23">
      <c r="A23" s="10" t="n">
        <v>43221</v>
      </c>
      <c r="B23" s="11" t="n">
        <v>100.18</v>
      </c>
      <c r="C23" s="11" t="n">
        <v>100.67</v>
      </c>
      <c r="D23" s="11" t="n">
        <v>99.87</v>
      </c>
      <c r="E23" s="11" t="n">
        <v>97.76000000000001</v>
      </c>
      <c r="F23" s="11" t="n">
        <v>100.24</v>
      </c>
    </row>
    <row r="24">
      <c r="A24" s="8" t="n">
        <v>43252</v>
      </c>
      <c r="B24" s="9" t="n">
        <v>99.93000000000001</v>
      </c>
      <c r="C24" s="9" t="n">
        <v>100.49</v>
      </c>
      <c r="D24" s="9" t="n">
        <v>99.87</v>
      </c>
      <c r="E24" s="9" t="n">
        <v>97.25</v>
      </c>
      <c r="F24" s="9" t="n">
        <v>98.81</v>
      </c>
    </row>
    <row r="25">
      <c r="A25" s="10" t="n">
        <v>43282</v>
      </c>
      <c r="B25" s="11" t="n">
        <v>100.29</v>
      </c>
      <c r="C25" s="11" t="n">
        <v>100.81</v>
      </c>
      <c r="D25" s="11" t="n">
        <v>100.17</v>
      </c>
      <c r="E25" s="11" t="n">
        <v>98.61</v>
      </c>
      <c r="F25" s="11" t="n">
        <v>100.81</v>
      </c>
    </row>
    <row r="26">
      <c r="A26" s="8" t="n">
        <v>43313</v>
      </c>
      <c r="B26" s="9" t="n">
        <v>100.57</v>
      </c>
      <c r="C26" s="9" t="n">
        <v>99.98</v>
      </c>
      <c r="D26" s="9" t="n">
        <v>100.97</v>
      </c>
      <c r="E26" s="9" t="n">
        <v>98.84999999999999</v>
      </c>
      <c r="F26" s="9" t="n">
        <v>102.04</v>
      </c>
    </row>
    <row r="27">
      <c r="A27" s="10" t="n">
        <v>43344</v>
      </c>
      <c r="B27" s="11" t="n">
        <v>100.68</v>
      </c>
      <c r="C27" s="11" t="n">
        <v>101.07</v>
      </c>
      <c r="D27" s="11" t="n">
        <v>100.86</v>
      </c>
      <c r="E27" s="11" t="n">
        <v>99.39</v>
      </c>
      <c r="F27" s="11" t="n">
        <v>99.17</v>
      </c>
    </row>
    <row r="28">
      <c r="A28" s="8" t="n">
        <v>43374</v>
      </c>
      <c r="B28" s="9" t="n">
        <v>100.55</v>
      </c>
      <c r="C28" s="9" t="n">
        <v>100.17</v>
      </c>
      <c r="D28" s="9" t="n">
        <v>100.89</v>
      </c>
      <c r="E28" s="9" t="n">
        <v>98.68000000000001</v>
      </c>
      <c r="F28" s="9" t="n">
        <v>100.25</v>
      </c>
    </row>
    <row r="29">
      <c r="A29" s="10" t="n">
        <v>43405</v>
      </c>
      <c r="B29" s="11" t="n">
        <v>100.03</v>
      </c>
      <c r="C29" s="11" t="n">
        <v>99.18000000000001</v>
      </c>
      <c r="D29" s="11" t="n">
        <v>100.31</v>
      </c>
      <c r="E29" s="11" t="n">
        <v>98.93000000000001</v>
      </c>
      <c r="F29" s="11" t="n">
        <v>99.76000000000001</v>
      </c>
    </row>
    <row r="30">
      <c r="A30" s="8" t="n">
        <v>43435</v>
      </c>
      <c r="B30" s="9" t="n">
        <v>99.64</v>
      </c>
      <c r="C30" s="9" t="n">
        <v>98.92</v>
      </c>
      <c r="D30" s="9" t="n">
        <v>99.70999999999999</v>
      </c>
      <c r="E30" s="9" t="n">
        <v>97.09999999999999</v>
      </c>
      <c r="F30" s="9" t="n">
        <v>95.98</v>
      </c>
    </row>
    <row r="31">
      <c r="A31" s="10" t="n">
        <v>43466</v>
      </c>
      <c r="B31" s="11" t="n">
        <v>100.12</v>
      </c>
      <c r="C31" s="11" t="n">
        <v>99.08</v>
      </c>
      <c r="D31" s="11" t="n">
        <v>100.67</v>
      </c>
      <c r="E31" s="11" t="n">
        <v>104.98</v>
      </c>
      <c r="F31" s="11" t="n">
        <v>102.82</v>
      </c>
    </row>
    <row r="32">
      <c r="A32" s="8" t="n">
        <v>43497</v>
      </c>
      <c r="B32" s="9" t="n">
        <v>100.52</v>
      </c>
      <c r="C32" s="9" t="n">
        <v>99.56</v>
      </c>
      <c r="D32" s="9" t="n">
        <v>100.67</v>
      </c>
      <c r="E32" s="9" t="n">
        <v>97.59999999999999</v>
      </c>
      <c r="F32" s="9" t="n">
        <v>101.87</v>
      </c>
    </row>
    <row r="33">
      <c r="A33" s="10" t="n">
        <v>43525</v>
      </c>
      <c r="B33" s="11" t="n">
        <v>99.22</v>
      </c>
      <c r="C33" s="11" t="n">
        <v>98.34</v>
      </c>
      <c r="D33" s="11" t="n">
        <v>99.59</v>
      </c>
      <c r="E33" s="11" t="n">
        <v>97.65000000000001</v>
      </c>
      <c r="F33" s="11" t="n">
        <v>98.62</v>
      </c>
    </row>
    <row r="34">
      <c r="A34" s="8" t="n">
        <v>43556</v>
      </c>
      <c r="B34" s="9" t="n">
        <v>99.65000000000001</v>
      </c>
      <c r="C34" s="9" t="n">
        <v>99.34</v>
      </c>
      <c r="D34" s="9" t="n">
        <v>99.63</v>
      </c>
      <c r="E34" s="9" t="n">
        <v>100.06</v>
      </c>
      <c r="F34" s="9" t="n">
        <v>98.54000000000001</v>
      </c>
    </row>
    <row r="35">
      <c r="A35" s="10" t="n">
        <v>43586</v>
      </c>
      <c r="B35" s="11" t="n">
        <v>99.23999999999999</v>
      </c>
      <c r="C35" s="11" t="n">
        <v>98.43000000000001</v>
      </c>
      <c r="D35" s="11" t="n">
        <v>99.77</v>
      </c>
      <c r="E35" s="11" t="n">
        <v>98.64</v>
      </c>
      <c r="F35" s="11" t="n">
        <v>100.64</v>
      </c>
    </row>
    <row r="36">
      <c r="A36" s="8" t="n">
        <v>43617</v>
      </c>
      <c r="B36" s="9" t="n">
        <v>99.73999999999999</v>
      </c>
      <c r="C36" s="9" t="n">
        <v>99.40000000000001</v>
      </c>
      <c r="D36" s="9" t="n">
        <v>100.05</v>
      </c>
      <c r="E36" s="9" t="n">
        <v>99.73</v>
      </c>
      <c r="F36" s="9" t="n">
        <v>98.59</v>
      </c>
    </row>
    <row r="37">
      <c r="A37" s="10" t="n">
        <v>43647</v>
      </c>
      <c r="B37" s="11" t="n">
        <v>99.53</v>
      </c>
      <c r="C37" s="11" t="n">
        <v>98.81</v>
      </c>
      <c r="D37" s="11" t="n">
        <v>100.05</v>
      </c>
      <c r="E37" s="11" t="n">
        <v>96.40000000000001</v>
      </c>
      <c r="F37" s="11" t="n">
        <v>99.58</v>
      </c>
    </row>
    <row r="38">
      <c r="A38" s="8" t="n">
        <v>43678</v>
      </c>
      <c r="B38" s="9" t="n">
        <v>99.63</v>
      </c>
      <c r="C38" s="9" t="n">
        <v>98.63</v>
      </c>
      <c r="D38" s="9" t="n">
        <v>100.28</v>
      </c>
      <c r="E38" s="9" t="n">
        <v>99.7</v>
      </c>
      <c r="F38" s="9" t="n">
        <v>97.91</v>
      </c>
    </row>
    <row r="39">
      <c r="A39" s="10" t="n">
        <v>43709</v>
      </c>
      <c r="B39" s="11" t="n">
        <v>100.06</v>
      </c>
      <c r="C39" s="11" t="n">
        <v>98.56</v>
      </c>
      <c r="D39" s="11" t="n">
        <v>100.88</v>
      </c>
      <c r="E39" s="11" t="n">
        <v>100.33</v>
      </c>
      <c r="F39" s="11" t="n">
        <v>99.43000000000001</v>
      </c>
    </row>
    <row r="40">
      <c r="A40" s="8" t="n">
        <v>43739</v>
      </c>
      <c r="B40" s="9" t="n">
        <v>99.04000000000001</v>
      </c>
      <c r="C40" s="9" t="n">
        <v>96.51000000000001</v>
      </c>
      <c r="D40" s="9" t="n">
        <v>100.3</v>
      </c>
      <c r="E40" s="9" t="n">
        <v>101.63</v>
      </c>
      <c r="F40" s="9" t="n">
        <v>101.97</v>
      </c>
    </row>
    <row r="41">
      <c r="A41" s="10" t="n">
        <v>43770</v>
      </c>
      <c r="B41" s="11" t="n">
        <v>99.23999999999999</v>
      </c>
      <c r="C41" s="11" t="n">
        <v>96.92</v>
      </c>
      <c r="D41" s="11" t="n">
        <v>100.62</v>
      </c>
      <c r="E41" s="11" t="n">
        <v>102.34</v>
      </c>
      <c r="F41" s="11" t="n">
        <v>99.78</v>
      </c>
    </row>
    <row r="42">
      <c r="A42" s="8" t="n">
        <v>43800</v>
      </c>
      <c r="B42" s="9" t="n">
        <v>99.06</v>
      </c>
      <c r="C42" s="9" t="n">
        <v>96.16</v>
      </c>
      <c r="D42" s="9" t="n">
        <v>100.57</v>
      </c>
      <c r="E42" s="9" t="n">
        <v>100.95</v>
      </c>
      <c r="F42" s="9" t="n">
        <v>100.24</v>
      </c>
    </row>
    <row r="43">
      <c r="A43" s="10" t="n">
        <v>43831</v>
      </c>
      <c r="B43" s="11" t="n">
        <v>99.88</v>
      </c>
      <c r="C43" s="11" t="n">
        <v>97.31999999999999</v>
      </c>
      <c r="D43" s="11" t="n">
        <v>101.2</v>
      </c>
      <c r="E43" s="11" t="n">
        <v>105</v>
      </c>
      <c r="F43" s="11" t="n">
        <v>97.34999999999999</v>
      </c>
    </row>
    <row r="44">
      <c r="A44" s="8" t="n">
        <v>43862</v>
      </c>
      <c r="B44" s="9" t="n">
        <v>99.15000000000001</v>
      </c>
      <c r="C44" s="9" t="n">
        <v>96.75</v>
      </c>
      <c r="D44" s="9" t="n">
        <v>100.55</v>
      </c>
      <c r="E44" s="9" t="n">
        <v>100.49</v>
      </c>
      <c r="F44" s="9" t="n">
        <v>97.95999999999999</v>
      </c>
    </row>
    <row r="45">
      <c r="A45" s="10" t="n">
        <v>43891</v>
      </c>
      <c r="B45" s="11" t="n">
        <v>95.64</v>
      </c>
      <c r="C45" s="11" t="n">
        <v>93.56</v>
      </c>
      <c r="D45" s="11" t="n">
        <v>96.31</v>
      </c>
      <c r="E45" s="11" t="n">
        <v>97.56999999999999</v>
      </c>
      <c r="F45" s="11" t="n">
        <v>99.23</v>
      </c>
    </row>
    <row r="46">
      <c r="A46" s="8" t="n">
        <v>43922</v>
      </c>
      <c r="B46" s="9" t="n">
        <v>77.59999999999999</v>
      </c>
      <c r="C46" s="9" t="n">
        <v>69.86</v>
      </c>
      <c r="D46" s="9" t="n">
        <v>80.62</v>
      </c>
      <c r="E46" s="9" t="n">
        <v>86.52</v>
      </c>
      <c r="F46" s="9" t="n">
        <v>110.09</v>
      </c>
    </row>
    <row r="47">
      <c r="A47" s="10" t="n">
        <v>43952</v>
      </c>
      <c r="B47" s="11" t="n">
        <v>76.15000000000001</v>
      </c>
      <c r="C47" s="11" t="n">
        <v>69.77</v>
      </c>
      <c r="D47" s="11" t="n">
        <v>78.56</v>
      </c>
      <c r="E47" s="11" t="n">
        <v>91.7</v>
      </c>
      <c r="F47" s="11" t="n">
        <v>109.45</v>
      </c>
    </row>
    <row r="48">
      <c r="A48" s="8" t="n">
        <v>43983</v>
      </c>
      <c r="B48" s="9" t="n">
        <v>85.18000000000001</v>
      </c>
      <c r="C48" s="9" t="n">
        <v>84.89</v>
      </c>
      <c r="D48" s="9" t="n">
        <v>84.81</v>
      </c>
      <c r="E48" s="9" t="n">
        <v>94.93000000000001</v>
      </c>
      <c r="F48" s="9" t="n">
        <v>100.19</v>
      </c>
    </row>
    <row r="49">
      <c r="A49" s="10" t="n">
        <v>44013</v>
      </c>
      <c r="B49" s="11" t="n">
        <v>89.5</v>
      </c>
      <c r="C49" s="11" t="n">
        <v>88.62</v>
      </c>
      <c r="D49" s="11" t="n">
        <v>89.13</v>
      </c>
      <c r="E49" s="11" t="n">
        <v>96.83</v>
      </c>
      <c r="F49" s="11" t="n">
        <v>98.25</v>
      </c>
    </row>
    <row r="50">
      <c r="A50" s="8" t="n">
        <v>44044</v>
      </c>
      <c r="B50" s="9" t="n">
        <v>92.12</v>
      </c>
      <c r="C50" s="9" t="n">
        <v>91.98</v>
      </c>
      <c r="D50" s="9" t="n">
        <v>91.67</v>
      </c>
      <c r="E50" s="9" t="n">
        <v>100.22</v>
      </c>
      <c r="F50" s="9" t="n">
        <v>96.04000000000001</v>
      </c>
    </row>
    <row r="51">
      <c r="A51" s="10" t="n">
        <v>44075</v>
      </c>
      <c r="B51" s="11" t="n">
        <v>94.61</v>
      </c>
      <c r="C51" s="11" t="n">
        <v>94.27</v>
      </c>
      <c r="D51" s="11" t="n">
        <v>94.19</v>
      </c>
      <c r="E51" s="11" t="n">
        <v>99.22</v>
      </c>
      <c r="F51" s="11" t="n">
        <v>97.97</v>
      </c>
    </row>
    <row r="52">
      <c r="A52" s="8" t="n">
        <v>44105</v>
      </c>
      <c r="B52" s="9" t="n">
        <v>95.62</v>
      </c>
      <c r="C52" s="9" t="n">
        <v>95.48999999999999</v>
      </c>
      <c r="D52" s="9" t="n">
        <v>95.16</v>
      </c>
      <c r="E52" s="9" t="n">
        <v>99.62</v>
      </c>
      <c r="F52" s="9" t="n">
        <v>97.63</v>
      </c>
    </row>
    <row r="53">
      <c r="A53" s="10" t="n">
        <v>44136</v>
      </c>
      <c r="B53" s="11" t="n">
        <v>96.34999999999999</v>
      </c>
      <c r="C53" s="11" t="n">
        <v>95.87</v>
      </c>
      <c r="D53" s="11" t="n">
        <v>96.33</v>
      </c>
      <c r="E53" s="11" t="n">
        <v>98.90000000000001</v>
      </c>
      <c r="F53" s="11" t="n">
        <v>96.09999999999999</v>
      </c>
    </row>
    <row r="54">
      <c r="A54" s="8" t="n">
        <v>44166</v>
      </c>
      <c r="B54" s="9" t="n">
        <v>96.06</v>
      </c>
      <c r="C54" s="9" t="n">
        <v>95.41</v>
      </c>
      <c r="D54" s="9" t="n">
        <v>96.34999999999999</v>
      </c>
      <c r="E54" s="9" t="n">
        <v>100.55</v>
      </c>
      <c r="F54" s="9" t="n">
        <v>97.73999999999999</v>
      </c>
    </row>
    <row r="55">
      <c r="A55" s="10" t="n">
        <v>44197</v>
      </c>
      <c r="B55" s="11" t="n">
        <v>96.11</v>
      </c>
      <c r="C55" s="11" t="n">
        <v>94.66</v>
      </c>
      <c r="D55" s="11" t="n">
        <v>96.42</v>
      </c>
      <c r="E55" s="11" t="n">
        <v>100.78</v>
      </c>
      <c r="F55" s="11" t="n">
        <v>90.72</v>
      </c>
    </row>
    <row r="56">
      <c r="A56" s="8" t="n">
        <v>44228</v>
      </c>
      <c r="B56" s="9" t="n">
        <v>95.86</v>
      </c>
      <c r="C56" s="9" t="n">
        <v>93.66</v>
      </c>
      <c r="D56" s="9" t="n">
        <v>96.5</v>
      </c>
      <c r="E56" s="9" t="n">
        <v>98.20999999999999</v>
      </c>
      <c r="F56" s="9" t="n">
        <v>97.7</v>
      </c>
    </row>
    <row r="57">
      <c r="A57" s="10" t="n">
        <v>44256</v>
      </c>
      <c r="B57" s="11" t="n">
        <v>97.39</v>
      </c>
      <c r="C57" s="11" t="n">
        <v>95.79000000000001</v>
      </c>
      <c r="D57" s="11" t="n">
        <v>98.11</v>
      </c>
      <c r="E57" s="11" t="n">
        <v>100.35</v>
      </c>
      <c r="F57" s="11" t="n">
        <v>99.12</v>
      </c>
    </row>
    <row r="58">
      <c r="A58" s="8" t="n">
        <v>44287</v>
      </c>
      <c r="B58" s="9" t="n">
        <v>97.20999999999999</v>
      </c>
      <c r="C58" s="9" t="n">
        <v>95.61</v>
      </c>
      <c r="D58" s="9" t="n">
        <v>97.77</v>
      </c>
      <c r="E58" s="9" t="n">
        <v>101.63</v>
      </c>
      <c r="F58" s="9" t="n">
        <v>96.42</v>
      </c>
    </row>
    <row r="59">
      <c r="A59" s="10" t="n">
        <v>44317</v>
      </c>
      <c r="B59" s="11" t="n">
        <v>97.23</v>
      </c>
      <c r="C59" s="11" t="n">
        <v>95.09</v>
      </c>
      <c r="D59" s="11" t="n">
        <v>98.15000000000001</v>
      </c>
      <c r="E59" s="11" t="n">
        <v>102.44</v>
      </c>
      <c r="F59" s="11" t="n">
        <v>97.41</v>
      </c>
    </row>
    <row r="60">
      <c r="A60" s="8" t="n">
        <v>44348</v>
      </c>
      <c r="B60" s="9" t="n">
        <v>97.06999999999999</v>
      </c>
      <c r="C60" s="9" t="n">
        <v>94.93000000000001</v>
      </c>
      <c r="D60" s="9" t="n">
        <v>97.88</v>
      </c>
      <c r="E60" s="9" t="n">
        <v>102.85</v>
      </c>
      <c r="F60" s="9" t="n">
        <v>98.33</v>
      </c>
    </row>
    <row r="61">
      <c r="A61" s="10" t="n">
        <v>44378</v>
      </c>
      <c r="B61" s="11" t="n">
        <v>96.73</v>
      </c>
      <c r="C61" s="11" t="n">
        <v>95.13</v>
      </c>
      <c r="D61" s="11" t="n">
        <v>97.42</v>
      </c>
      <c r="E61" s="11" t="n">
        <v>105.39</v>
      </c>
      <c r="F61" s="11" t="n">
        <v>97.69</v>
      </c>
    </row>
    <row r="62">
      <c r="A62" s="8" t="n">
        <v>44409</v>
      </c>
      <c r="B62" s="9" t="n">
        <v>96.01000000000001</v>
      </c>
      <c r="C62" s="9" t="n">
        <v>95.48</v>
      </c>
      <c r="D62" s="9" t="n">
        <v>95.81999999999999</v>
      </c>
      <c r="E62" s="9" t="n">
        <v>105.95</v>
      </c>
      <c r="F62" s="9" t="n">
        <v>95.67</v>
      </c>
    </row>
    <row r="63">
      <c r="A63" s="10" t="n">
        <v>44440</v>
      </c>
      <c r="B63" s="11" t="n">
        <v>95.78</v>
      </c>
      <c r="C63" s="11" t="n">
        <v>94.45999999999999</v>
      </c>
      <c r="D63" s="11" t="n">
        <v>96.17</v>
      </c>
      <c r="E63" s="11" t="n">
        <v>107.15</v>
      </c>
      <c r="F63" s="11" t="n">
        <v>98.41</v>
      </c>
    </row>
    <row r="64">
      <c r="A64" s="8" t="n">
        <v>44470</v>
      </c>
      <c r="B64" s="9" t="n">
        <v>96.45</v>
      </c>
      <c r="C64" s="9" t="n">
        <v>95.47</v>
      </c>
      <c r="D64" s="9" t="n">
        <v>96.72</v>
      </c>
      <c r="E64" s="9" t="n">
        <v>108.53</v>
      </c>
      <c r="F64" s="9" t="n">
        <v>97.55</v>
      </c>
    </row>
    <row r="65">
      <c r="A65" s="10" t="n">
        <v>44501</v>
      </c>
      <c r="B65" s="11" t="n">
        <v>97.06999999999999</v>
      </c>
      <c r="C65" s="11" t="n">
        <v>95.97</v>
      </c>
      <c r="D65" s="11" t="n">
        <v>97.20999999999999</v>
      </c>
      <c r="E65" s="11" t="n">
        <v>108.52</v>
      </c>
      <c r="F65" s="11" t="n">
        <v>100.01</v>
      </c>
    </row>
    <row r="66">
      <c r="A66" s="8" t="n">
        <v>44531</v>
      </c>
      <c r="B66" s="9" t="n">
        <v>97.59999999999999</v>
      </c>
      <c r="C66" s="9" t="n">
        <v>97.18000000000001</v>
      </c>
      <c r="D66" s="9" t="n">
        <v>97.40000000000001</v>
      </c>
      <c r="E66" s="9" t="n">
        <v>110.38</v>
      </c>
      <c r="F66" s="9" t="n">
        <v>99.87</v>
      </c>
    </row>
    <row r="67">
      <c r="A67" s="10" t="n">
        <v>44562</v>
      </c>
      <c r="B67" s="11" t="n">
        <v>98.23</v>
      </c>
      <c r="C67" s="11" t="n">
        <v>98.41</v>
      </c>
      <c r="D67" s="11" t="n">
        <v>97.54000000000001</v>
      </c>
      <c r="E67" s="11" t="n">
        <v>105.28</v>
      </c>
      <c r="F67" s="11" t="n">
        <v>91.14</v>
      </c>
    </row>
    <row r="68">
      <c r="A68" s="8" t="n">
        <v>44593</v>
      </c>
      <c r="B68" s="9" t="n">
        <v>98.69</v>
      </c>
      <c r="C68" s="9" t="n">
        <v>98.37</v>
      </c>
      <c r="D68" s="9" t="n">
        <v>98.53</v>
      </c>
      <c r="E68" s="9" t="n">
        <v>108.1</v>
      </c>
      <c r="F68" s="9" t="n">
        <v>98.73999999999999</v>
      </c>
    </row>
    <row r="69">
      <c r="A69" s="10" t="n">
        <v>44621</v>
      </c>
      <c r="B69" s="11" t="n">
        <v>99.09999999999999</v>
      </c>
      <c r="C69" s="11" t="n">
        <v>99.29000000000001</v>
      </c>
      <c r="D69" s="11" t="n">
        <v>98.7</v>
      </c>
      <c r="E69" s="11" t="n">
        <v>110.75</v>
      </c>
      <c r="F69" s="11" t="n">
        <v>103.48</v>
      </c>
    </row>
    <row r="70">
      <c r="A70" s="8" t="n">
        <v>44652</v>
      </c>
      <c r="B70" s="9" t="n">
        <v>99.81999999999999</v>
      </c>
      <c r="C70" s="9" t="n">
        <v>99.88</v>
      </c>
      <c r="D70" s="9" t="n">
        <v>99.38</v>
      </c>
      <c r="E70" s="9" t="n">
        <v>111.26</v>
      </c>
      <c r="F70" s="9" t="n">
        <v>106.81</v>
      </c>
    </row>
    <row r="71">
      <c r="A71" s="10" t="n">
        <v>44682</v>
      </c>
      <c r="B71" s="11" t="n">
        <v>99.78</v>
      </c>
      <c r="C71" s="11" t="n">
        <v>99.68000000000001</v>
      </c>
      <c r="D71" s="11" t="n">
        <v>99.52</v>
      </c>
      <c r="E71" s="11" t="n">
        <v>110.53</v>
      </c>
      <c r="F71" s="11" t="n">
        <v>112.08</v>
      </c>
    </row>
    <row r="72">
      <c r="A72" s="8" t="n">
        <v>44713</v>
      </c>
      <c r="B72" s="9" t="n">
        <v>99.45</v>
      </c>
      <c r="C72" s="9" t="n">
        <v>99.15000000000001</v>
      </c>
      <c r="D72" s="9" t="n">
        <v>99.59999999999999</v>
      </c>
      <c r="E72" s="9" t="n">
        <v>110.35</v>
      </c>
      <c r="F72" s="9" t="n">
        <v>112.39</v>
      </c>
    </row>
    <row r="73">
      <c r="A73" s="10" t="n">
        <v>44743</v>
      </c>
      <c r="B73" s="11" t="n">
        <v>100</v>
      </c>
      <c r="C73" s="11" t="n">
        <v>99.81999999999999</v>
      </c>
      <c r="D73" s="11" t="n">
        <v>100.27</v>
      </c>
      <c r="E73" s="11" t="n">
        <v>109.63</v>
      </c>
      <c r="F73" s="11" t="n">
        <v>106.81</v>
      </c>
    </row>
    <row r="74">
      <c r="A74" s="8" t="n">
        <v>44774</v>
      </c>
      <c r="B74" s="9" t="n">
        <v>100.5</v>
      </c>
      <c r="C74" s="9" t="n">
        <v>100.26</v>
      </c>
      <c r="D74" s="9" t="n">
        <v>100.34</v>
      </c>
      <c r="E74" s="9" t="n">
        <v>111.46</v>
      </c>
      <c r="F74" s="9" t="n">
        <v>107.9</v>
      </c>
    </row>
    <row r="75">
      <c r="A75" s="10" t="n">
        <v>44805</v>
      </c>
      <c r="B75" s="11" t="n">
        <v>100.68</v>
      </c>
      <c r="C75" s="11" t="n">
        <v>99.84</v>
      </c>
      <c r="D75" s="11" t="n">
        <v>100.86</v>
      </c>
      <c r="E75" s="11" t="n">
        <v>110.97</v>
      </c>
      <c r="F75" s="11" t="n">
        <v>108.66</v>
      </c>
    </row>
    <row r="76">
      <c r="A76" s="8" t="n">
        <v>44835</v>
      </c>
      <c r="B76" s="9" t="n">
        <v>101.08</v>
      </c>
      <c r="C76" s="9" t="n">
        <v>99.87</v>
      </c>
      <c r="D76" s="9" t="n">
        <v>101.53</v>
      </c>
      <c r="E76" s="9" t="n">
        <v>110.71</v>
      </c>
      <c r="F76" s="9" t="n">
        <v>108.7</v>
      </c>
    </row>
    <row r="77">
      <c r="A77" s="10" t="n">
        <v>44866</v>
      </c>
      <c r="B77" s="11" t="n">
        <v>101.65</v>
      </c>
      <c r="C77" s="11" t="n">
        <v>100.96</v>
      </c>
      <c r="D77" s="11" t="n">
        <v>101.37</v>
      </c>
      <c r="E77" s="11" t="n">
        <v>110.32</v>
      </c>
      <c r="F77" s="11" t="n">
        <v>108.71</v>
      </c>
    </row>
    <row r="78">
      <c r="A78" s="8" t="n">
        <v>44896</v>
      </c>
      <c r="B78" s="9" t="n">
        <v>102.52</v>
      </c>
      <c r="C78" s="9" t="n">
        <v>102.38</v>
      </c>
      <c r="D78" s="9" t="n">
        <v>102.33</v>
      </c>
      <c r="E78" s="9" t="n">
        <v>108.93</v>
      </c>
      <c r="F78" s="9" t="n">
        <v>106.4</v>
      </c>
    </row>
    <row r="79">
      <c r="A79" s="10" t="n">
        <v>44927</v>
      </c>
      <c r="B79" s="11" t="n">
        <v>102.58</v>
      </c>
      <c r="C79" s="11" t="n">
        <v>101.93</v>
      </c>
      <c r="D79" s="11" t="n">
        <v>102.71</v>
      </c>
      <c r="E79" s="11" t="n">
        <v>111.37</v>
      </c>
      <c r="F79" s="11" t="n">
        <v>105.97</v>
      </c>
    </row>
    <row r="80">
      <c r="A80" s="8" t="n">
        <v>44958</v>
      </c>
      <c r="B80" s="9" t="n">
        <v>102.05</v>
      </c>
      <c r="C80" s="9" t="n">
        <v>101.61</v>
      </c>
      <c r="D80" s="9" t="n">
        <v>101.96</v>
      </c>
      <c r="E80" s="9" t="n">
        <v>111.14</v>
      </c>
      <c r="F80" s="9" t="n">
        <v>107.76</v>
      </c>
    </row>
    <row r="81">
      <c r="A81" s="10" t="n">
        <v>44986</v>
      </c>
      <c r="B81" s="11" t="n">
        <v>101.69</v>
      </c>
      <c r="C81" s="11" t="n">
        <v>101.62</v>
      </c>
      <c r="D81" s="11" t="n">
        <v>101.74</v>
      </c>
      <c r="E81" s="11" t="n">
        <v>109.74</v>
      </c>
      <c r="F81" s="11" t="n">
        <v>105.71</v>
      </c>
    </row>
    <row r="82">
      <c r="A82" s="8" t="n">
        <v>45017</v>
      </c>
      <c r="B82" s="9" t="n">
        <v>102.84</v>
      </c>
      <c r="C82" s="9" t="n">
        <v>102.11</v>
      </c>
      <c r="D82" s="9" t="n">
        <v>102.73</v>
      </c>
      <c r="E82" s="9" t="n">
        <v>107.31</v>
      </c>
      <c r="F82" s="9" t="n">
        <v>98.01000000000001</v>
      </c>
    </row>
    <row r="83">
      <c r="A83" s="10" t="n">
        <v>45047</v>
      </c>
      <c r="B83" s="11" t="n">
        <v>102.88</v>
      </c>
      <c r="C83" s="11" t="n">
        <v>102.6</v>
      </c>
      <c r="D83" s="11" t="n">
        <v>103.04</v>
      </c>
      <c r="E83" s="11" t="n">
        <v>107.13</v>
      </c>
      <c r="F83" s="11" t="n">
        <v>104.73</v>
      </c>
    </row>
    <row r="84">
      <c r="A84" s="8" t="n">
        <v>45078</v>
      </c>
      <c r="B84" s="9" t="n">
        <v>103.32</v>
      </c>
      <c r="C84" s="9" t="n">
        <v>103.03</v>
      </c>
      <c r="D84" s="9" t="n">
        <v>103.51</v>
      </c>
      <c r="E84" s="9" t="n">
        <v>109.31</v>
      </c>
      <c r="F84" s="9" t="n">
        <v>105.76</v>
      </c>
    </row>
    <row r="85">
      <c r="A85" s="10" t="n">
        <v>45108</v>
      </c>
      <c r="B85" s="11" t="n">
        <v>103.35</v>
      </c>
      <c r="C85" s="11" t="n">
        <v>102.99</v>
      </c>
      <c r="D85" s="11" t="n">
        <v>103.74</v>
      </c>
      <c r="E85" s="11" t="n">
        <v>108.87</v>
      </c>
      <c r="F85" s="11" t="n">
        <v>103.19</v>
      </c>
    </row>
    <row r="86">
      <c r="A86" s="8" t="n">
        <v>45139</v>
      </c>
      <c r="B86" s="9" t="n">
        <v>103.7</v>
      </c>
      <c r="C86" s="9" t="n">
        <v>103.14</v>
      </c>
      <c r="D86" s="9" t="n">
        <v>103.95</v>
      </c>
      <c r="E86" s="9" t="n">
        <v>107.8</v>
      </c>
      <c r="F86" s="9" t="n">
        <v>105.58</v>
      </c>
    </row>
    <row r="87">
      <c r="A87" s="10" t="n">
        <v>45170</v>
      </c>
      <c r="B87" s="11" t="n">
        <v>104.58</v>
      </c>
      <c r="C87" s="11" t="n">
        <v>103.81</v>
      </c>
      <c r="D87" s="11" t="n">
        <v>105.08</v>
      </c>
      <c r="E87" s="11" t="n">
        <v>109.1</v>
      </c>
      <c r="F87" s="11" t="n">
        <v>106.42</v>
      </c>
    </row>
    <row r="88">
      <c r="A88" s="8" t="n">
        <v>45200</v>
      </c>
      <c r="B88" s="9" t="n">
        <v>104.61</v>
      </c>
      <c r="C88" s="9" t="n">
        <v>104.82</v>
      </c>
      <c r="D88" s="9" t="n">
        <v>104.37</v>
      </c>
      <c r="E88" s="9" t="n">
        <v>108.24</v>
      </c>
      <c r="F88" s="9" t="n">
        <v>102.24</v>
      </c>
    </row>
    <row r="89">
      <c r="A89" s="10" t="n">
        <v>45231</v>
      </c>
      <c r="B89" s="11" t="n">
        <v>103.86</v>
      </c>
      <c r="C89" s="11" t="n">
        <v>103.11</v>
      </c>
      <c r="D89" s="11" t="n">
        <v>104.5</v>
      </c>
      <c r="E89" s="11" t="n">
        <v>107.08</v>
      </c>
      <c r="F89" s="11" t="n">
        <v>103.97</v>
      </c>
    </row>
    <row r="90">
      <c r="A90" s="8" t="n">
        <v>45261</v>
      </c>
      <c r="B90" s="9" t="n">
        <v>104.3</v>
      </c>
      <c r="C90" s="9" t="n">
        <v>103.04</v>
      </c>
      <c r="D90" s="9" t="n">
        <v>104.98</v>
      </c>
      <c r="E90" s="9" t="n">
        <v>99.73999999999999</v>
      </c>
      <c r="F90" s="9" t="n">
        <v>94.73999999999999</v>
      </c>
    </row>
    <row r="91">
      <c r="A91" s="10" t="n">
        <v>45292</v>
      </c>
      <c r="B91" s="11" t="n">
        <v>104.34</v>
      </c>
      <c r="C91" s="11" t="n">
        <v>103.63</v>
      </c>
      <c r="D91" s="11" t="n">
        <v>105.22</v>
      </c>
      <c r="E91" s="11" t="n">
        <v>109.17</v>
      </c>
      <c r="F91" s="11" t="n">
        <v>105.17</v>
      </c>
    </row>
    <row r="92">
      <c r="A92" s="8" t="n">
        <v>45323</v>
      </c>
      <c r="B92" s="9" t="n">
        <v>104.68</v>
      </c>
      <c r="C92" s="9" t="n">
        <v>102.03</v>
      </c>
      <c r="D92" s="9" t="n">
        <v>105.95</v>
      </c>
      <c r="E92" s="9" t="n">
        <v>108.44</v>
      </c>
      <c r="F92" s="9" t="n">
        <v>106.46</v>
      </c>
    </row>
    <row r="93">
      <c r="A93" s="10" t="n">
        <v>45352</v>
      </c>
      <c r="B93" s="11" t="n">
        <v>104.92</v>
      </c>
      <c r="C93" s="11" t="n">
        <v>102.63</v>
      </c>
      <c r="D93" s="11" t="n">
        <v>106.23</v>
      </c>
      <c r="E93" s="11" t="n">
        <v>106.9</v>
      </c>
      <c r="F93" s="11" t="n">
        <v>99.25</v>
      </c>
    </row>
    <row r="94">
      <c r="A94" s="8" t="n">
        <v>45383</v>
      </c>
      <c r="B94" s="9" t="n">
        <v>103.69</v>
      </c>
      <c r="C94" s="9" t="n">
        <v>101.63</v>
      </c>
      <c r="D94" s="9" t="n">
        <v>104.43</v>
      </c>
      <c r="E94" s="9" t="n">
        <v>109.72</v>
      </c>
      <c r="F94" s="9" t="n">
        <v>107.35</v>
      </c>
    </row>
    <row r="95">
      <c r="A95" s="10" t="n">
        <v>45413</v>
      </c>
      <c r="B95" s="11" t="n">
        <v>104.42</v>
      </c>
      <c r="C95" s="11" t="n">
        <v>101.82</v>
      </c>
      <c r="D95" s="11" t="n">
        <v>105.86</v>
      </c>
      <c r="E95" s="11" t="n">
        <v>107.72</v>
      </c>
      <c r="F95" s="11" t="n">
        <v>106.6</v>
      </c>
    </row>
    <row r="96">
      <c r="A96" s="8" t="n">
        <v>45444</v>
      </c>
      <c r="B96" s="9" t="n">
        <v>104.55</v>
      </c>
      <c r="C96" s="9" t="n">
        <v>102.09</v>
      </c>
      <c r="D96" s="9" t="n">
        <v>105.87</v>
      </c>
      <c r="E96" s="9" t="n">
        <v>108</v>
      </c>
      <c r="F96" s="9" t="n">
        <v>104.2</v>
      </c>
    </row>
    <row r="97">
      <c r="A97" s="10" t="n">
        <v>45474</v>
      </c>
      <c r="B97" s="11" t="n">
        <v>105.61</v>
      </c>
      <c r="C97" s="11" t="n">
        <v>102.76</v>
      </c>
      <c r="D97" s="11" t="n">
        <v>106.43</v>
      </c>
      <c r="E97" s="11" t="n">
        <v>107.17</v>
      </c>
      <c r="F97" s="11" t="n">
        <v>105.35</v>
      </c>
    </row>
    <row r="98">
      <c r="A98" s="8" t="n">
        <v>45505</v>
      </c>
      <c r="B98" s="9" t="n">
        <v>104.74</v>
      </c>
      <c r="C98" s="9" t="n">
        <v>102.26</v>
      </c>
      <c r="D98" s="9" t="n">
        <v>106.4</v>
      </c>
      <c r="E98" s="9" t="n">
        <v>107.34</v>
      </c>
      <c r="F98" s="9" t="n">
        <v>105.76</v>
      </c>
    </row>
    <row r="99">
      <c r="A99" s="10" t="n">
        <v>45536</v>
      </c>
      <c r="B99" s="11" t="n">
        <v>105.01</v>
      </c>
      <c r="C99" s="11" t="n">
        <v>102.89</v>
      </c>
      <c r="D99" s="11" t="n">
        <v>106.13</v>
      </c>
      <c r="E99" s="11" t="n">
        <v>106.19</v>
      </c>
      <c r="F99" s="11" t="n">
        <v>101.2</v>
      </c>
    </row>
    <row r="100">
      <c r="A100" s="8" t="n">
        <v>45566</v>
      </c>
      <c r="B100" s="9" t="n">
        <v>104.02</v>
      </c>
      <c r="C100" s="9" t="n">
        <v>101.14</v>
      </c>
      <c r="D100" s="9" t="n">
        <v>105.82</v>
      </c>
      <c r="E100" s="9" t="n">
        <v>106.24</v>
      </c>
      <c r="F100" s="9" t="n">
        <v>105.01</v>
      </c>
    </row>
    <row r="101">
      <c r="A101" s="10" t="n">
        <v>45597</v>
      </c>
      <c r="B101" s="11" t="n">
        <v>104.52</v>
      </c>
      <c r="C101" s="11" t="n">
        <v>101.33</v>
      </c>
      <c r="D101" s="11" t="n">
        <v>106.45</v>
      </c>
      <c r="E101" s="11" t="n">
        <v>107.64</v>
      </c>
      <c r="F101" s="11" t="n">
        <v>104.75</v>
      </c>
    </row>
    <row r="102">
      <c r="A102" s="8" t="n">
        <v>45627</v>
      </c>
      <c r="B102" s="9" t="n">
        <v>103.55</v>
      </c>
      <c r="C102" s="9" t="n">
        <v>100.1</v>
      </c>
      <c r="D102" s="9" t="n">
        <v>105.82</v>
      </c>
      <c r="E102" s="9" t="n">
        <v>105.91</v>
      </c>
      <c r="F102" s="9" t="n">
        <v>101.45</v>
      </c>
    </row>
    <row r="103">
      <c r="A103" s="10" t="n">
        <v>45658</v>
      </c>
      <c r="B103" s="11" t="n">
        <v>104.34</v>
      </c>
      <c r="C103" s="11" t="n">
        <v>100.35</v>
      </c>
      <c r="D103" s="11" t="n">
        <v>106.47</v>
      </c>
      <c r="E103" s="11" t="n">
        <v>105.72</v>
      </c>
      <c r="F103" s="11" t="n">
        <v>105.52</v>
      </c>
    </row>
    <row r="104">
      <c r="A104" s="8" t="n">
        <v>45689</v>
      </c>
      <c r="B104" s="9" t="n">
        <v>105.32</v>
      </c>
      <c r="C104" s="9" t="n">
        <v>102.12</v>
      </c>
      <c r="D104" s="9" t="n">
        <v>107.22</v>
      </c>
      <c r="E104" s="9" t="n">
        <v>104.9</v>
      </c>
      <c r="F104" s="9" t="n">
        <v>103.23</v>
      </c>
    </row>
    <row r="105">
      <c r="A105" s="10" t="n">
        <v>45717</v>
      </c>
      <c r="B105" s="11" t="n">
        <v>104.95</v>
      </c>
      <c r="C105" s="11" t="n">
        <v>101.69</v>
      </c>
      <c r="D105" s="11" t="n">
        <v>106.61</v>
      </c>
      <c r="E105" s="11" t="n">
        <v>106.84</v>
      </c>
      <c r="F105" s="11" t="n">
        <v>103.02</v>
      </c>
    </row>
    <row r="106">
      <c r="A106" s="8" t="n">
        <v>45748</v>
      </c>
      <c r="B106" s="9" t="n">
        <v>104.66</v>
      </c>
      <c r="C106" s="9" t="n">
        <v>100.61</v>
      </c>
      <c r="D106" s="9" t="n">
        <v>106.65</v>
      </c>
      <c r="E106" s="9" t="n">
        <v>100.87</v>
      </c>
      <c r="F106" s="9" t="n">
        <v>98.73</v>
      </c>
    </row>
    <row r="107">
      <c r="A107" s="10" t="n">
        <v>45778</v>
      </c>
      <c r="B107" s="11" t="n">
        <v>104.89</v>
      </c>
      <c r="C107" s="11" t="n">
        <v>101.58</v>
      </c>
      <c r="D107" s="11" t="n">
        <v>106.75</v>
      </c>
      <c r="E107" s="11" t="n">
        <v>105.75</v>
      </c>
      <c r="F107" s="11" t="n">
        <v>103.87</v>
      </c>
    </row>
    <row r="108">
      <c r="A108" s="8" t="n">
        <v>45809</v>
      </c>
      <c r="B108" s="9" t="n">
        <v>105.01</v>
      </c>
      <c r="C108" s="9" t="n">
        <v>101.25</v>
      </c>
      <c r="D108" s="9" t="n">
        <v>106.98</v>
      </c>
      <c r="E108" s="9" t="n">
        <v>105.36</v>
      </c>
      <c r="F108" s="9" t="n">
        <v>103</v>
      </c>
    </row>
    <row r="109">
      <c r="A109" s="10" t="n">
        <v>45839</v>
      </c>
      <c r="B109" s="11" t="n">
        <v>104.44</v>
      </c>
      <c r="C109" s="11" t="n">
        <v>100.23</v>
      </c>
      <c r="D109" s="11" t="n">
        <v>106.89</v>
      </c>
      <c r="E109" s="11" t="n">
        <v>108.52</v>
      </c>
      <c r="F109" s="11" t="n">
        <v>108.19</v>
      </c>
    </row>
    <row r="110">
      <c r="A110" s="8" t="n">
        <v>45870</v>
      </c>
      <c r="B110" s="9" t="n">
        <v>104.95</v>
      </c>
      <c r="C110" s="9" t="n">
        <v>100.04</v>
      </c>
      <c r="D110" s="9" t="n">
        <v>107.37</v>
      </c>
      <c r="E110" s="9" t="n">
        <v>106.49</v>
      </c>
      <c r="F110" s="9" t="n">
        <v>106.31</v>
      </c>
    </row>
    <row r="111">
      <c r="A111" s="10" t="n">
        <v>45901</v>
      </c>
      <c r="B111" s="11" t="n">
        <v>104.5</v>
      </c>
      <c r="C111" s="11" t="n">
        <v>99.90000000000001</v>
      </c>
      <c r="D111" s="11" t="n">
        <v>107.02</v>
      </c>
      <c r="E111" s="11" t="n">
        <v>107.13</v>
      </c>
      <c r="F111" s="11" t="n">
        <v>108.78</v>
      </c>
    </row>
    <row r="112">
      <c r="A112" s="8" t="n">
        <v>45931</v>
      </c>
      <c r="B112" s="9" t="n">
        <v>105.55</v>
      </c>
      <c r="C112" s="9" t="n">
        <v>100.71</v>
      </c>
      <c r="D112" s="9" t="n">
        <v>108.18</v>
      </c>
      <c r="E112" s="9" t="n">
        <v>106.92</v>
      </c>
      <c r="F112" s="9" t="n">
        <v>108.66</v>
      </c>
    </row>
    <row r="113">
      <c r="A113" s="10" t="n">
        <v>45962</v>
      </c>
      <c r="B113" s="11" t="n">
        <v>105.47</v>
      </c>
      <c r="C113" s="11" t="n">
        <v>101.32</v>
      </c>
      <c r="D113" s="11" t="n">
        <v>107.83</v>
      </c>
      <c r="E113" s="11" t="n">
        <v>106.61</v>
      </c>
      <c r="F113" s="11" t="n">
        <v>108.37</v>
      </c>
    </row>
    <row r="114">
      <c r="A114" s="8" t="n">
        <v>45992</v>
      </c>
      <c r="B114" s="9" t="n">
        <v>105.89</v>
      </c>
      <c r="C114" s="9" t="n">
        <v>101.43</v>
      </c>
      <c r="D114" s="9" t="n">
        <v>108.02</v>
      </c>
      <c r="E114" s="9" t="n">
        <v>107.78</v>
      </c>
      <c r="F114" s="9" t="n">
        <v>109.13</v>
      </c>
    </row>
    <row r="115">
      <c r="A115" s="10" t="n">
        <v>46023</v>
      </c>
      <c r="B115" s="11" t="n">
        <v>104.81</v>
      </c>
      <c r="C115" s="11" t="n">
        <v>100.4</v>
      </c>
      <c r="D115" s="11" t="n">
        <v>107.38</v>
      </c>
      <c r="E115" s="11" t="n">
        <v>107.6</v>
      </c>
      <c r="F115" s="11" t="n">
        <v>110.23</v>
      </c>
    </row>
    <row r="116">
      <c r="A116" s="8" t="n">
        <v>46054</v>
      </c>
      <c r="B116" s="9" t="n">
        <v>105.15</v>
      </c>
      <c r="C116" s="9" t="n">
        <v>100.82</v>
      </c>
      <c r="D116" s="9" t="n">
        <v>107.52</v>
      </c>
      <c r="E116" s="9" t="n">
        <v>100.14</v>
      </c>
      <c r="F116" s="9" t="n">
        <v>102.15</v>
      </c>
    </row>
    <row r="117">
      <c r="A117" s="10" t="n">
        <v>46082</v>
      </c>
      <c r="B117" s="11" t="n">
        <v>105.78</v>
      </c>
      <c r="C117" s="11" t="n">
        <v>100.3</v>
      </c>
      <c r="D117" s="11" t="n">
        <v>108.53</v>
      </c>
      <c r="E117" s="11" t="n">
        <v>106.89</v>
      </c>
      <c r="F117" s="11" t="n">
        <v>112.95</v>
      </c>
    </row>
    <row r="118">
      <c r="A118" s="8" t="n">
        <v>46113</v>
      </c>
      <c r="B118" s="9" t="n">
        <v>107.23</v>
      </c>
      <c r="C118" s="9" t="n">
        <v>102.42</v>
      </c>
      <c r="D118" s="9" t="n">
        <v>109.36</v>
      </c>
      <c r="E118" s="9" t="n">
        <v>106.24</v>
      </c>
      <c r="F118" s="9" t="n">
        <v>109.45</v>
      </c>
    </row>
    <row r="119">
      <c r="A119" s="10" t="n">
        <v>46143</v>
      </c>
      <c r="B119" s="11" t="n">
        <v>106.96</v>
      </c>
      <c r="C119" s="11" t="n">
        <v>101.63</v>
      </c>
      <c r="D119" s="11" t="n">
        <v>109.52</v>
      </c>
      <c r="E119" s="11" t="n">
        <v>107.2</v>
      </c>
      <c r="F119" s="11" t="n">
        <v>111.99</v>
      </c>
    </row>
    <row r="121">
      <c r="A121" s="2" t="inlineStr">
        <is>
          <t>Elasticidades bajo cuatro especificaciones. Se muestran las cuatro porque el resultado depende de cuál se elija.</t>
        </is>
      </c>
    </row>
    <row r="122">
      <c r="A122" s="6" t="inlineStr">
        <is>
          <t>Producto</t>
        </is>
      </c>
      <c r="B122" s="7" t="inlineStr">
        <is>
          <t>especificación</t>
        </is>
      </c>
      <c r="C122" s="7" t="inlineStr">
        <is>
          <t>n</t>
        </is>
      </c>
      <c r="D122" s="7" t="inlineStr">
        <is>
          <t>R2</t>
        </is>
      </c>
      <c r="E122" s="7" t="inlineStr">
        <is>
          <t>ingreso</t>
        </is>
      </c>
      <c r="F122" s="7" t="inlineStr">
        <is>
          <t>p_ingreso</t>
        </is>
      </c>
      <c r="G122" s="7" t="inlineStr">
        <is>
          <t>precio</t>
        </is>
      </c>
      <c r="H122" s="7" t="inlineStr">
        <is>
          <t>p_precio</t>
        </is>
      </c>
    </row>
    <row r="123">
      <c r="A123" s="13" t="inlineStr">
        <is>
          <t>Gasolinas</t>
        </is>
      </c>
      <c r="B123" s="22" t="inlineStr">
        <is>
          <t>Variación anual, muestra completa</t>
        </is>
      </c>
      <c r="C123" s="22" t="n">
        <v>101</v>
      </c>
      <c r="D123" s="22" t="n">
        <v>0.787</v>
      </c>
      <c r="E123" s="22" t="n">
        <v>1.16</v>
      </c>
      <c r="F123" s="22" t="n">
        <v>0</v>
      </c>
      <c r="G123" s="22" t="n">
        <v>0.29</v>
      </c>
      <c r="H123" s="22" t="n">
        <v>0.002</v>
      </c>
    </row>
    <row r="124">
      <c r="A124" s="16" t="inlineStr">
        <is>
          <t>Gasolinas</t>
        </is>
      </c>
      <c r="B124" s="32" t="inlineStr">
        <is>
          <t>Variación anual, sin pandemia</t>
        </is>
      </c>
      <c r="C124" s="32" t="n">
        <v>79</v>
      </c>
      <c r="D124" s="32" t="n">
        <v>0.096</v>
      </c>
      <c r="E124" s="32" t="n">
        <v>0.38</v>
      </c>
      <c r="F124" s="32" t="n">
        <v>0.306</v>
      </c>
      <c r="G124" s="32" t="n">
        <v>0.22</v>
      </c>
      <c r="H124" s="32" t="n">
        <v>0.018</v>
      </c>
    </row>
    <row r="125">
      <c r="A125" s="13" t="inlineStr">
        <is>
          <t>Gasolinas</t>
        </is>
      </c>
      <c r="B125" s="22" t="inlineStr">
        <is>
          <t>Nivel con tendencia, muestra completa</t>
        </is>
      </c>
      <c r="C125" s="22" t="n">
        <v>113</v>
      </c>
      <c r="D125" s="22" t="n">
        <v>0.871</v>
      </c>
      <c r="E125" s="22" t="n">
        <v>1</v>
      </c>
      <c r="F125" s="22" t="n">
        <v>0</v>
      </c>
      <c r="G125" s="22" t="n">
        <v>0.37</v>
      </c>
      <c r="H125" s="22" t="n">
        <v>0.005</v>
      </c>
    </row>
    <row r="126">
      <c r="A126" s="16" t="inlineStr">
        <is>
          <t>Gasolinas</t>
        </is>
      </c>
      <c r="B126" s="32" t="inlineStr">
        <is>
          <t>Nivel con tendencia, sin pandemia</t>
        </is>
      </c>
      <c r="C126" s="32" t="n">
        <v>91</v>
      </c>
      <c r="D126" s="32" t="n">
        <v>0.889</v>
      </c>
      <c r="E126" s="32" t="n">
        <v>-0.53</v>
      </c>
      <c r="F126" s="32" t="n">
        <v>0.041</v>
      </c>
      <c r="G126" s="32" t="n">
        <v>0.3</v>
      </c>
      <c r="H126" s="32" t="n">
        <v>0</v>
      </c>
    </row>
    <row r="127">
      <c r="A127" s="13" t="inlineStr">
        <is>
          <t>Diésel</t>
        </is>
      </c>
      <c r="B127" s="22" t="inlineStr">
        <is>
          <t>Variación anual, muestra completa</t>
        </is>
      </c>
      <c r="C127" s="22" t="n">
        <v>101</v>
      </c>
      <c r="D127" s="22" t="n">
        <v>0.529</v>
      </c>
      <c r="E127" s="22" t="n">
        <v>0.76</v>
      </c>
      <c r="F127" s="22" t="n">
        <v>0</v>
      </c>
      <c r="G127" s="22" t="n">
        <v>0.12</v>
      </c>
      <c r="H127" s="22" t="n">
        <v>0.399</v>
      </c>
    </row>
    <row r="128">
      <c r="A128" s="16" t="inlineStr">
        <is>
          <t>Diésel</t>
        </is>
      </c>
      <c r="B128" s="32" t="inlineStr">
        <is>
          <t>Variación anual, sin pandemia</t>
        </is>
      </c>
      <c r="C128" s="32" t="n">
        <v>79</v>
      </c>
      <c r="D128" s="32" t="n">
        <v>0.335</v>
      </c>
      <c r="E128" s="32" t="n">
        <v>1.63</v>
      </c>
      <c r="F128" s="32" t="n">
        <v>0.001</v>
      </c>
      <c r="G128" s="32" t="n">
        <v>0.09</v>
      </c>
      <c r="H128" s="32" t="n">
        <v>0.636</v>
      </c>
    </row>
    <row r="129">
      <c r="A129" s="13" t="inlineStr">
        <is>
          <t>Diésel</t>
        </is>
      </c>
      <c r="B129" s="22" t="inlineStr">
        <is>
          <t>Nivel con tendencia, muestra completa</t>
        </is>
      </c>
      <c r="C129" s="22" t="n">
        <v>113</v>
      </c>
      <c r="D129" s="22" t="n">
        <v>0.735</v>
      </c>
      <c r="E129" s="22" t="n">
        <v>0.95</v>
      </c>
      <c r="F129" s="22" t="n">
        <v>0</v>
      </c>
      <c r="G129" s="22" t="n">
        <v>-0.02</v>
      </c>
      <c r="H129" s="22" t="n">
        <v>0.87</v>
      </c>
    </row>
    <row r="130">
      <c r="A130" s="16" t="inlineStr">
        <is>
          <t>Diésel</t>
        </is>
      </c>
      <c r="B130" s="32" t="inlineStr">
        <is>
          <t>Nivel con tendencia, sin pandemia</t>
        </is>
      </c>
      <c r="C130" s="32" t="n">
        <v>91</v>
      </c>
      <c r="D130" s="32" t="n">
        <v>0.545</v>
      </c>
      <c r="E130" s="32" t="n">
        <v>0.9</v>
      </c>
      <c r="F130" s="32" t="n">
        <v>0.007</v>
      </c>
      <c r="G130" s="32" t="n">
        <v>-0.08</v>
      </c>
      <c r="H130" s="32" t="n">
        <v>0.204</v>
      </c>
    </row>
    <row r="132">
      <c r="A132" s="2" t="inlineStr">
        <is>
          <t>Cuánto del crecimiento del consumo explica la actividad. El residuo es lo que no explica.</t>
        </is>
      </c>
    </row>
    <row r="133">
      <c r="A133" s="6" t="inlineStr">
        <is>
          <t>Producto</t>
        </is>
      </c>
      <c r="B133" s="7" t="inlineStr">
        <is>
          <t>periodo</t>
        </is>
      </c>
      <c r="C133" s="7" t="inlineStr">
        <is>
          <t>meses</t>
        </is>
      </c>
      <c r="D133" s="7" t="inlineStr">
        <is>
          <t>consumo</t>
        </is>
      </c>
      <c r="E133" s="7" t="inlineStr">
        <is>
          <t>actividad</t>
        </is>
      </c>
      <c r="F133" s="7" t="inlineStr">
        <is>
          <t>explica_min</t>
        </is>
      </c>
      <c r="G133" s="7" t="inlineStr">
        <is>
          <t>explica_max</t>
        </is>
      </c>
      <c r="H133" s="7" t="inlineStr">
        <is>
          <t>residuo_min</t>
        </is>
      </c>
      <c r="I133" s="7" t="inlineStr">
        <is>
          <t>residuo_max</t>
        </is>
      </c>
    </row>
    <row r="134">
      <c r="A134" s="16" t="inlineStr">
        <is>
          <t>Gasolinas</t>
        </is>
      </c>
      <c r="B134" s="9" t="inlineStr">
        <is>
          <t>2023 a 2024</t>
        </is>
      </c>
      <c r="C134" s="9" t="n">
        <v>12</v>
      </c>
      <c r="D134" s="9" t="n">
        <v>1.79</v>
      </c>
      <c r="E134" s="9" t="n">
        <v>2.28</v>
      </c>
      <c r="F134" s="9" t="n">
        <v>-1.21</v>
      </c>
      <c r="G134" s="9" t="n">
        <v>0.87</v>
      </c>
      <c r="H134" s="9" t="n">
        <v>0.92</v>
      </c>
      <c r="I134" s="9" t="n">
        <v>3</v>
      </c>
    </row>
    <row r="135">
      <c r="A135" s="13" t="inlineStr">
        <is>
          <t>Gasolinas</t>
        </is>
      </c>
      <c r="B135" s="11" t="inlineStr">
        <is>
          <t>2024 a 2025</t>
        </is>
      </c>
      <c r="C135" s="11" t="n">
        <v>12</v>
      </c>
      <c r="D135" s="11" t="n">
        <v>-0.16</v>
      </c>
      <c r="E135" s="11" t="n">
        <v>1.21</v>
      </c>
      <c r="F135" s="11" t="n">
        <v>-0.64</v>
      </c>
      <c r="G135" s="11" t="n">
        <v>0.46</v>
      </c>
      <c r="H135" s="11" t="n">
        <v>-0.62</v>
      </c>
      <c r="I135" s="11" t="n">
        <v>0.48</v>
      </c>
    </row>
    <row r="136">
      <c r="A136" s="16" t="inlineStr">
        <is>
          <t>Gasolinas</t>
        </is>
      </c>
      <c r="B136" s="9" t="inlineStr">
        <is>
          <t>2025 a 2026</t>
        </is>
      </c>
      <c r="C136" s="9" t="n">
        <v>5</v>
      </c>
      <c r="D136" s="9" t="n">
        <v>2.4</v>
      </c>
      <c r="E136" s="9" t="n">
        <v>1.61</v>
      </c>
      <c r="F136" s="9" t="n">
        <v>-0.85</v>
      </c>
      <c r="G136" s="9" t="n">
        <v>0.61</v>
      </c>
      <c r="H136" s="9" t="n">
        <v>1.79</v>
      </c>
      <c r="I136" s="9" t="n">
        <v>3.25</v>
      </c>
    </row>
    <row r="137">
      <c r="A137" s="13" t="inlineStr">
        <is>
          <t>Diésel</t>
        </is>
      </c>
      <c r="B137" s="11" t="inlineStr">
        <is>
          <t>2023 a 2024</t>
        </is>
      </c>
      <c r="C137" s="11" t="n">
        <v>12</v>
      </c>
      <c r="D137" s="11" t="n">
        <v>-0.09</v>
      </c>
      <c r="E137" s="11" t="n">
        <v>-0.77</v>
      </c>
      <c r="F137" s="11" t="n">
        <v>-1.26</v>
      </c>
      <c r="G137" s="11" t="n">
        <v>-0.6899999999999999</v>
      </c>
      <c r="H137" s="11" t="n">
        <v>0.6</v>
      </c>
      <c r="I137" s="11" t="n">
        <v>1.17</v>
      </c>
    </row>
    <row r="138">
      <c r="A138" s="16" t="inlineStr">
        <is>
          <t>Diésel</t>
        </is>
      </c>
      <c r="B138" s="9" t="inlineStr">
        <is>
          <t>2024 a 2025</t>
        </is>
      </c>
      <c r="C138" s="9" t="n">
        <v>12</v>
      </c>
      <c r="D138" s="9" t="n">
        <v>0.05</v>
      </c>
      <c r="E138" s="9" t="n">
        <v>-1.07</v>
      </c>
      <c r="F138" s="9" t="n">
        <v>-1.74</v>
      </c>
      <c r="G138" s="9" t="n">
        <v>-0.96</v>
      </c>
      <c r="H138" s="9" t="n">
        <v>1.01</v>
      </c>
      <c r="I138" s="9" t="n">
        <v>1.79</v>
      </c>
    </row>
    <row r="139">
      <c r="A139" s="13" t="inlineStr">
        <is>
          <t>Diésel</t>
        </is>
      </c>
      <c r="B139" s="11" t="inlineStr">
        <is>
          <t>2025 a 2026</t>
        </is>
      </c>
      <c r="C139" s="11" t="n">
        <v>5</v>
      </c>
      <c r="D139" s="11" t="n">
        <v>6.13</v>
      </c>
      <c r="E139" s="11" t="n">
        <v>-0.15</v>
      </c>
      <c r="F139" s="11" t="n">
        <v>-0.25</v>
      </c>
      <c r="G139" s="11" t="n">
        <v>-0.14</v>
      </c>
      <c r="H139" s="11" t="n">
        <v>6.27</v>
      </c>
      <c r="I139" s="11" t="n">
        <v>6.38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Hasta dónde llega cada serie</t>
        </is>
      </c>
    </row>
    <row r="2">
      <c r="A2" s="2" t="inlineStr">
        <is>
          <t>El mes final de cada fuente define cuántos meses entran a cada promedio anual</t>
        </is>
      </c>
    </row>
    <row r="6">
      <c r="A6" s="6" t="inlineStr">
        <is>
          <t>Combustible</t>
        </is>
      </c>
      <c r="B6" s="7" t="inlineStr">
        <is>
          <t>Serie</t>
        </is>
      </c>
      <c r="C6" s="7" t="inlineStr">
        <is>
          <t>Primer mes</t>
        </is>
      </c>
      <c r="D6" s="7" t="inlineStr">
        <is>
          <t>Último mes</t>
        </is>
      </c>
      <c r="E6" s="7" t="inlineStr">
        <is>
          <t>Meses con dato</t>
        </is>
      </c>
    </row>
    <row r="7">
      <c r="A7" s="13" t="inlineStr">
        <is>
          <t>Regular (R)</t>
        </is>
      </c>
      <c r="B7" s="13" t="inlineStr">
        <is>
          <t>Producción nacional</t>
        </is>
      </c>
      <c r="C7" s="13" t="inlineStr">
        <is>
          <t>Jan-2019</t>
        </is>
      </c>
      <c r="D7" s="13" t="inlineStr">
        <is>
          <t>Jul-2026</t>
        </is>
      </c>
      <c r="E7" s="13" t="n">
        <v>91</v>
      </c>
    </row>
    <row r="8">
      <c r="A8" s="16" t="inlineStr">
        <is>
          <t>Regular (R)</t>
        </is>
      </c>
      <c r="B8" s="16" t="inlineStr">
        <is>
          <t>Importación de Pemex</t>
        </is>
      </c>
      <c r="C8" s="16" t="inlineStr">
        <is>
          <t>Jan-2017</t>
        </is>
      </c>
      <c r="D8" s="16" t="inlineStr">
        <is>
          <t>Jul-2026</t>
        </is>
      </c>
      <c r="E8" s="16" t="n">
        <v>115</v>
      </c>
    </row>
    <row r="9">
      <c r="A9" s="13" t="inlineStr">
        <is>
          <t>Regular (R)</t>
        </is>
      </c>
      <c r="B9" s="13" t="inlineStr">
        <is>
          <t>Importación de particulares</t>
        </is>
      </c>
      <c r="C9" s="13" t="inlineStr">
        <is>
          <t>Jan-2017</t>
        </is>
      </c>
      <c r="D9" s="13" t="inlineStr">
        <is>
          <t>Jul-2026</t>
        </is>
      </c>
      <c r="E9" s="13" t="n">
        <v>115</v>
      </c>
    </row>
    <row r="10">
      <c r="A10" s="16" t="inlineStr">
        <is>
          <t>Regular (R)</t>
        </is>
      </c>
      <c r="B10" s="16" t="inlineStr">
        <is>
          <t>Exportación</t>
        </is>
      </c>
      <c r="C10" s="16" t="inlineStr">
        <is>
          <t>Jan-2017</t>
        </is>
      </c>
      <c r="D10" s="16" t="inlineStr">
        <is>
          <t>Jul-2026</t>
        </is>
      </c>
      <c r="E10" s="16" t="n">
        <v>115</v>
      </c>
    </row>
    <row r="11">
      <c r="A11" s="13" t="inlineStr">
        <is>
          <t>Regular (R)</t>
        </is>
      </c>
      <c r="B11" s="13" t="inlineStr">
        <is>
          <t>Ventas internas de Pemex</t>
        </is>
      </c>
      <c r="C11" s="13" t="inlineStr">
        <is>
          <t>Jan-2017</t>
        </is>
      </c>
      <c r="D11" s="13" t="inlineStr">
        <is>
          <t>Jul-2026</t>
        </is>
      </c>
      <c r="E11" s="13" t="n">
        <v>115</v>
      </c>
    </row>
    <row r="12">
      <c r="A12" s="16" t="inlineStr">
        <is>
          <t>Regular (R)</t>
        </is>
      </c>
      <c r="B12" s="16" t="inlineStr">
        <is>
          <t>Compras de autoconsumo</t>
        </is>
      </c>
      <c r="C12" s="16" t="inlineStr">
        <is>
          <t>Jan-2017</t>
        </is>
      </c>
      <c r="D12" s="16" t="inlineStr">
        <is>
          <t>Jul-2026</t>
        </is>
      </c>
      <c r="E12" s="16" t="n">
        <v>115</v>
      </c>
    </row>
    <row r="13">
      <c r="A13" s="13" t="inlineStr">
        <is>
          <t>Regular (R)</t>
        </is>
      </c>
      <c r="B13" s="13" t="inlineStr">
        <is>
          <t>Venta en la bomba</t>
        </is>
      </c>
      <c r="C13" s="13" t="inlineStr">
        <is>
          <t>Jan-2017</t>
        </is>
      </c>
      <c r="D13" s="13" t="inlineStr">
        <is>
          <t>Jul-2026</t>
        </is>
      </c>
      <c r="E13" s="13" t="n">
        <v>115</v>
      </c>
    </row>
    <row r="14">
      <c r="A14" s="16" t="inlineStr">
        <is>
          <t>Premium (P)</t>
        </is>
      </c>
      <c r="B14" s="16" t="inlineStr">
        <is>
          <t>Producción nacional</t>
        </is>
      </c>
      <c r="C14" s="16" t="inlineStr">
        <is>
          <t>Jan-2019</t>
        </is>
      </c>
      <c r="D14" s="16" t="inlineStr">
        <is>
          <t>Jul-2026</t>
        </is>
      </c>
      <c r="E14" s="16" t="n">
        <v>91</v>
      </c>
    </row>
    <row r="15">
      <c r="A15" s="13" t="inlineStr">
        <is>
          <t>Premium (P)</t>
        </is>
      </c>
      <c r="B15" s="13" t="inlineStr">
        <is>
          <t>Importación de Pemex</t>
        </is>
      </c>
      <c r="C15" s="13" t="inlineStr">
        <is>
          <t>Jan-2017</t>
        </is>
      </c>
      <c r="D15" s="13" t="inlineStr">
        <is>
          <t>Jul-2026</t>
        </is>
      </c>
      <c r="E15" s="13" t="n">
        <v>115</v>
      </c>
    </row>
    <row r="16">
      <c r="A16" s="16" t="inlineStr">
        <is>
          <t>Premium (P)</t>
        </is>
      </c>
      <c r="B16" s="16" t="inlineStr">
        <is>
          <t>Importación de particulares</t>
        </is>
      </c>
      <c r="C16" s="16" t="inlineStr">
        <is>
          <t>Jan-2017</t>
        </is>
      </c>
      <c r="D16" s="16" t="inlineStr">
        <is>
          <t>Jul-2026</t>
        </is>
      </c>
      <c r="E16" s="16" t="n">
        <v>115</v>
      </c>
    </row>
    <row r="17">
      <c r="A17" s="13" t="inlineStr">
        <is>
          <t>Premium (P)</t>
        </is>
      </c>
      <c r="B17" s="13" t="inlineStr">
        <is>
          <t>Exportación</t>
        </is>
      </c>
      <c r="C17" s="13" t="inlineStr">
        <is>
          <t>Jan-2017</t>
        </is>
      </c>
      <c r="D17" s="13" t="inlineStr">
        <is>
          <t>Jul-2026</t>
        </is>
      </c>
      <c r="E17" s="13" t="n">
        <v>115</v>
      </c>
    </row>
    <row r="18">
      <c r="A18" s="16" t="inlineStr">
        <is>
          <t>Premium (P)</t>
        </is>
      </c>
      <c r="B18" s="16" t="inlineStr">
        <is>
          <t>Ventas internas de Pemex</t>
        </is>
      </c>
      <c r="C18" s="16" t="inlineStr">
        <is>
          <t>Jan-2017</t>
        </is>
      </c>
      <c r="D18" s="16" t="inlineStr">
        <is>
          <t>Jul-2026</t>
        </is>
      </c>
      <c r="E18" s="16" t="n">
        <v>115</v>
      </c>
    </row>
    <row r="19">
      <c r="A19" s="13" t="inlineStr">
        <is>
          <t>Premium (P)</t>
        </is>
      </c>
      <c r="B19" s="13" t="inlineStr">
        <is>
          <t>Compras de autoconsumo</t>
        </is>
      </c>
      <c r="C19" s="13" t="inlineStr">
        <is>
          <t>Jan-2017</t>
        </is>
      </c>
      <c r="D19" s="13" t="inlineStr">
        <is>
          <t>Jul-2026</t>
        </is>
      </c>
      <c r="E19" s="13" t="n">
        <v>115</v>
      </c>
    </row>
    <row r="20">
      <c r="A20" s="16" t="inlineStr">
        <is>
          <t>Premium (P)</t>
        </is>
      </c>
      <c r="B20" s="16" t="inlineStr">
        <is>
          <t>Venta en la bomba</t>
        </is>
      </c>
      <c r="C20" s="16" t="inlineStr">
        <is>
          <t>Jan-2017</t>
        </is>
      </c>
      <c r="D20" s="16" t="inlineStr">
        <is>
          <t>Jul-2026</t>
        </is>
      </c>
      <c r="E20" s="16" t="n">
        <v>115</v>
      </c>
    </row>
    <row r="21">
      <c r="A21" s="13" t="inlineStr">
        <is>
          <t>Diésel (D)</t>
        </is>
      </c>
      <c r="B21" s="13" t="inlineStr">
        <is>
          <t>Producción nacional</t>
        </is>
      </c>
      <c r="C21" s="13" t="inlineStr">
        <is>
          <t>Jan-2017</t>
        </is>
      </c>
      <c r="D21" s="13" t="inlineStr">
        <is>
          <t>Jul-2026</t>
        </is>
      </c>
      <c r="E21" s="13" t="n">
        <v>115</v>
      </c>
    </row>
    <row r="22">
      <c r="A22" s="16" t="inlineStr">
        <is>
          <t>Diésel (D)</t>
        </is>
      </c>
      <c r="B22" s="16" t="inlineStr">
        <is>
          <t>Importación de Pemex</t>
        </is>
      </c>
      <c r="C22" s="16" t="inlineStr">
        <is>
          <t>Jan-2017</t>
        </is>
      </c>
      <c r="D22" s="16" t="inlineStr">
        <is>
          <t>Jul-2026</t>
        </is>
      </c>
      <c r="E22" s="16" t="n">
        <v>115</v>
      </c>
    </row>
    <row r="23">
      <c r="A23" s="13" t="inlineStr">
        <is>
          <t>Diésel (D)</t>
        </is>
      </c>
      <c r="B23" s="13" t="inlineStr">
        <is>
          <t>Importación de particulares</t>
        </is>
      </c>
      <c r="C23" s="13" t="inlineStr">
        <is>
          <t>Jan-2017</t>
        </is>
      </c>
      <c r="D23" s="13" t="inlineStr">
        <is>
          <t>Jul-2026</t>
        </is>
      </c>
      <c r="E23" s="13" t="n">
        <v>115</v>
      </c>
    </row>
    <row r="24">
      <c r="A24" s="16" t="inlineStr">
        <is>
          <t>Diésel (D)</t>
        </is>
      </c>
      <c r="B24" s="16" t="inlineStr">
        <is>
          <t>Exportación</t>
        </is>
      </c>
      <c r="C24" s="16" t="inlineStr">
        <is>
          <t>Jan-2017</t>
        </is>
      </c>
      <c r="D24" s="16" t="inlineStr">
        <is>
          <t>Jul-2026</t>
        </is>
      </c>
      <c r="E24" s="16" t="n">
        <v>115</v>
      </c>
    </row>
    <row r="25">
      <c r="A25" s="13" t="inlineStr">
        <is>
          <t>Diésel (D)</t>
        </is>
      </c>
      <c r="B25" s="13" t="inlineStr">
        <is>
          <t>Ventas internas de Pemex</t>
        </is>
      </c>
      <c r="C25" s="13" t="inlineStr">
        <is>
          <t>Jan-2017</t>
        </is>
      </c>
      <c r="D25" s="13" t="inlineStr">
        <is>
          <t>Jul-2026</t>
        </is>
      </c>
      <c r="E25" s="13" t="n">
        <v>115</v>
      </c>
    </row>
    <row r="26">
      <c r="A26" s="16" t="inlineStr">
        <is>
          <t>Diésel (D)</t>
        </is>
      </c>
      <c r="B26" s="16" t="inlineStr">
        <is>
          <t>Compras de autoconsumo</t>
        </is>
      </c>
      <c r="C26" s="16" t="inlineStr">
        <is>
          <t>Jan-2017</t>
        </is>
      </c>
      <c r="D26" s="16" t="inlineStr">
        <is>
          <t>Jul-2026</t>
        </is>
      </c>
      <c r="E26" s="16" t="n">
        <v>115</v>
      </c>
    </row>
    <row r="27">
      <c r="A27" s="13" t="inlineStr">
        <is>
          <t>Diésel (D)</t>
        </is>
      </c>
      <c r="B27" s="13" t="inlineStr">
        <is>
          <t>Venta en la bomba</t>
        </is>
      </c>
      <c r="C27" s="13" t="inlineStr">
        <is>
          <t>Jan-2017</t>
        </is>
      </c>
      <c r="D27" s="13" t="inlineStr">
        <is>
          <t>Jul-2026</t>
        </is>
      </c>
      <c r="E27" s="13" t="n">
        <v>115</v>
      </c>
    </row>
    <row r="28">
      <c r="A28" s="16" t="inlineStr">
        <is>
          <t>Gasolinas (R + P)</t>
        </is>
      </c>
      <c r="B28" s="16" t="inlineStr">
        <is>
          <t>Producción nacional</t>
        </is>
      </c>
      <c r="C28" s="16" t="inlineStr">
        <is>
          <t>Jan-2019</t>
        </is>
      </c>
      <c r="D28" s="16" t="inlineStr">
        <is>
          <t>Jul-2026</t>
        </is>
      </c>
      <c r="E28" s="16" t="n">
        <v>91</v>
      </c>
    </row>
    <row r="29">
      <c r="A29" s="13" t="inlineStr">
        <is>
          <t>Gasolinas (R + P)</t>
        </is>
      </c>
      <c r="B29" s="13" t="inlineStr">
        <is>
          <t>Importación de Pemex</t>
        </is>
      </c>
      <c r="C29" s="13" t="inlineStr">
        <is>
          <t>Jan-2017</t>
        </is>
      </c>
      <c r="D29" s="13" t="inlineStr">
        <is>
          <t>Jul-2026</t>
        </is>
      </c>
      <c r="E29" s="13" t="n">
        <v>115</v>
      </c>
    </row>
    <row r="30">
      <c r="A30" s="16" t="inlineStr">
        <is>
          <t>Gasolinas (R + P)</t>
        </is>
      </c>
      <c r="B30" s="16" t="inlineStr">
        <is>
          <t>Importación de particulares</t>
        </is>
      </c>
      <c r="C30" s="16" t="inlineStr">
        <is>
          <t>Jan-2017</t>
        </is>
      </c>
      <c r="D30" s="16" t="inlineStr">
        <is>
          <t>Jul-2026</t>
        </is>
      </c>
      <c r="E30" s="16" t="n">
        <v>115</v>
      </c>
    </row>
    <row r="31">
      <c r="A31" s="13" t="inlineStr">
        <is>
          <t>Gasolinas (R + P)</t>
        </is>
      </c>
      <c r="B31" s="13" t="inlineStr">
        <is>
          <t>Exportación</t>
        </is>
      </c>
      <c r="C31" s="13" t="inlineStr">
        <is>
          <t>Jan-2017</t>
        </is>
      </c>
      <c r="D31" s="13" t="inlineStr">
        <is>
          <t>Jul-2026</t>
        </is>
      </c>
      <c r="E31" s="13" t="n">
        <v>115</v>
      </c>
    </row>
    <row r="32">
      <c r="A32" s="16" t="inlineStr">
        <is>
          <t>Gasolinas (R + P)</t>
        </is>
      </c>
      <c r="B32" s="16" t="inlineStr">
        <is>
          <t>Ventas internas de Pemex</t>
        </is>
      </c>
      <c r="C32" s="16" t="inlineStr">
        <is>
          <t>Jan-2017</t>
        </is>
      </c>
      <c r="D32" s="16" t="inlineStr">
        <is>
          <t>Jul-2026</t>
        </is>
      </c>
      <c r="E32" s="16" t="n">
        <v>115</v>
      </c>
    </row>
    <row r="33">
      <c r="A33" s="13" t="inlineStr">
        <is>
          <t>Gasolinas (R + P)</t>
        </is>
      </c>
      <c r="B33" s="13" t="inlineStr">
        <is>
          <t>Compras de autoconsumo</t>
        </is>
      </c>
      <c r="C33" s="13" t="inlineStr">
        <is>
          <t>Jan-2017</t>
        </is>
      </c>
      <c r="D33" s="13" t="inlineStr">
        <is>
          <t>Jul-2026</t>
        </is>
      </c>
      <c r="E33" s="13" t="n">
        <v>115</v>
      </c>
    </row>
    <row r="34">
      <c r="A34" s="16" t="inlineStr">
        <is>
          <t>Gasolinas (R + P)</t>
        </is>
      </c>
      <c r="B34" s="16" t="inlineStr">
        <is>
          <t>Venta en la bomba</t>
        </is>
      </c>
      <c r="C34" s="16" t="inlineStr">
        <is>
          <t>Jan-2017</t>
        </is>
      </c>
      <c r="D34" s="16" t="inlineStr">
        <is>
          <t>Jul-2026</t>
        </is>
      </c>
      <c r="E34" s="16" t="n">
        <v>115</v>
      </c>
    </row>
    <row r="35">
      <c r="A35" s="13" t="inlineStr">
        <is>
          <t>Todos (R + P + D)</t>
        </is>
      </c>
      <c r="B35" s="13" t="inlineStr">
        <is>
          <t>Producción nacional</t>
        </is>
      </c>
      <c r="C35" s="13" t="inlineStr">
        <is>
          <t>Jan-2019</t>
        </is>
      </c>
      <c r="D35" s="13" t="inlineStr">
        <is>
          <t>Jul-2026</t>
        </is>
      </c>
      <c r="E35" s="13" t="n">
        <v>91</v>
      </c>
    </row>
    <row r="36">
      <c r="A36" s="16" t="inlineStr">
        <is>
          <t>Todos (R + P + D)</t>
        </is>
      </c>
      <c r="B36" s="16" t="inlineStr">
        <is>
          <t>Importación de Pemex</t>
        </is>
      </c>
      <c r="C36" s="16" t="inlineStr">
        <is>
          <t>Jan-2017</t>
        </is>
      </c>
      <c r="D36" s="16" t="inlineStr">
        <is>
          <t>Jul-2026</t>
        </is>
      </c>
      <c r="E36" s="16" t="n">
        <v>115</v>
      </c>
    </row>
    <row r="37">
      <c r="A37" s="13" t="inlineStr">
        <is>
          <t>Todos (R + P + D)</t>
        </is>
      </c>
      <c r="B37" s="13" t="inlineStr">
        <is>
          <t>Importación de particulares</t>
        </is>
      </c>
      <c r="C37" s="13" t="inlineStr">
        <is>
          <t>Jan-2017</t>
        </is>
      </c>
      <c r="D37" s="13" t="inlineStr">
        <is>
          <t>Jul-2026</t>
        </is>
      </c>
      <c r="E37" s="13" t="n">
        <v>115</v>
      </c>
    </row>
    <row r="38">
      <c r="A38" s="16" t="inlineStr">
        <is>
          <t>Todos (R + P + D)</t>
        </is>
      </c>
      <c r="B38" s="16" t="inlineStr">
        <is>
          <t>Exportación</t>
        </is>
      </c>
      <c r="C38" s="16" t="inlineStr">
        <is>
          <t>Jan-2017</t>
        </is>
      </c>
      <c r="D38" s="16" t="inlineStr">
        <is>
          <t>Jul-2026</t>
        </is>
      </c>
      <c r="E38" s="16" t="n">
        <v>115</v>
      </c>
    </row>
    <row r="39">
      <c r="A39" s="13" t="inlineStr">
        <is>
          <t>Todos (R + P + D)</t>
        </is>
      </c>
      <c r="B39" s="13" t="inlineStr">
        <is>
          <t>Ventas internas de Pemex</t>
        </is>
      </c>
      <c r="C39" s="13" t="inlineStr">
        <is>
          <t>Jan-2017</t>
        </is>
      </c>
      <c r="D39" s="13" t="inlineStr">
        <is>
          <t>Jul-2026</t>
        </is>
      </c>
      <c r="E39" s="13" t="n">
        <v>115</v>
      </c>
    </row>
    <row r="40">
      <c r="A40" s="16" t="inlineStr">
        <is>
          <t>Todos (R + P + D)</t>
        </is>
      </c>
      <c r="B40" s="16" t="inlineStr">
        <is>
          <t>Compras de autoconsumo</t>
        </is>
      </c>
      <c r="C40" s="16" t="inlineStr">
        <is>
          <t>Jan-2017</t>
        </is>
      </c>
      <c r="D40" s="16" t="inlineStr">
        <is>
          <t>Jul-2026</t>
        </is>
      </c>
      <c r="E40" s="16" t="n">
        <v>115</v>
      </c>
    </row>
    <row r="41">
      <c r="A41" s="13" t="inlineStr">
        <is>
          <t>Todos (R + P + D)</t>
        </is>
      </c>
      <c r="B41" s="13" t="inlineStr">
        <is>
          <t>Venta en la bomba</t>
        </is>
      </c>
      <c r="C41" s="13" t="inlineStr">
        <is>
          <t>Jan-2017</t>
        </is>
      </c>
      <c r="D41" s="13" t="inlineStr">
        <is>
          <t>Jul-2026</t>
        </is>
      </c>
      <c r="E41" s="13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2026-08-22T00:02:02Z</dcterms:created>
  <dcterms:modified xmlns:dcterms="http://purl.org/dc/terms/" xmlns:xsi="http://www.w3.org/2001/XMLSchema-instance" xsi:type="dcterms:W3CDTF">2026-08-22T00:02:03Z</dcterms:modified>
</cp:coreProperties>
</file>